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data-visualization\dataset\"/>
    </mc:Choice>
  </mc:AlternateContent>
  <xr:revisionPtr revIDLastSave="0" documentId="8_{92321DD4-584C-4390-969C-BEC2F239A99C}" xr6:coauthVersionLast="47" xr6:coauthVersionMax="47" xr10:uidLastSave="{00000000-0000-0000-0000-000000000000}"/>
  <bookViews>
    <workbookView xWindow="-98" yWindow="-98" windowWidth="21795" windowHeight="12975" activeTab="2" xr2:uid="{4AE8D5CB-A693-4179-A063-A9D20E066B68}"/>
  </bookViews>
  <sheets>
    <sheet name="dummy_data_gen" sheetId="1" r:id="rId1"/>
    <sheet name="dummy_gold_price" sheetId="2" r:id="rId2"/>
    <sheet name="Sheet3" sheetId="3" r:id="rId3"/>
  </sheets>
  <definedNames>
    <definedName name="_xlnm._FilterDatabase" localSheetId="2" hidden="1">Sheet3!$A$1:$K$101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9" i="3"/>
  <c r="B3" i="3"/>
  <c r="B4" i="3"/>
  <c r="B5" i="3"/>
  <c r="B6" i="3"/>
  <c r="B7" i="3"/>
  <c r="B8" i="3"/>
  <c r="B2" i="3"/>
  <c r="G2" i="1"/>
  <c r="G3" i="1"/>
  <c r="G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A5" i="1"/>
  <c r="E5" i="1" s="1"/>
  <c r="A6" i="1"/>
  <c r="E6" i="1" s="1"/>
  <c r="A7" i="1"/>
  <c r="E7" i="1" s="1"/>
  <c r="A8" i="1"/>
  <c r="E8" i="1" s="1"/>
  <c r="A9" i="1"/>
  <c r="E9" i="1" s="1"/>
  <c r="A10" i="1"/>
  <c r="E10" i="1" s="1"/>
  <c r="A11" i="1"/>
  <c r="E11" i="1" s="1"/>
  <c r="A12" i="1"/>
  <c r="E12" i="1" s="1"/>
  <c r="A13" i="1"/>
  <c r="E13" i="1" s="1"/>
  <c r="A14" i="1"/>
  <c r="E14" i="1" s="1"/>
  <c r="A15" i="1"/>
  <c r="E15" i="1" s="1"/>
  <c r="A16" i="1"/>
  <c r="E16" i="1" s="1"/>
  <c r="A17" i="1"/>
  <c r="E17" i="1" s="1"/>
  <c r="A18" i="1"/>
  <c r="E18" i="1" s="1"/>
  <c r="A19" i="1"/>
  <c r="E19" i="1" s="1"/>
  <c r="A20" i="1"/>
  <c r="E20" i="1" s="1"/>
  <c r="F20" i="1" s="1"/>
  <c r="A21" i="1"/>
  <c r="E21" i="1" s="1"/>
  <c r="F21" i="1" s="1"/>
  <c r="A22" i="1"/>
  <c r="E22" i="1" s="1"/>
  <c r="A23" i="1"/>
  <c r="E23" i="1" s="1"/>
  <c r="A24" i="1"/>
  <c r="E24" i="1" s="1"/>
  <c r="A25" i="1"/>
  <c r="E25" i="1" s="1"/>
  <c r="A26" i="1"/>
  <c r="E26" i="1" s="1"/>
  <c r="A27" i="1"/>
  <c r="E27" i="1" s="1"/>
  <c r="A28" i="1"/>
  <c r="E28" i="1" s="1"/>
  <c r="A29" i="1"/>
  <c r="E29" i="1" s="1"/>
  <c r="A30" i="1"/>
  <c r="E30" i="1" s="1"/>
  <c r="A31" i="1"/>
  <c r="E31" i="1" s="1"/>
  <c r="A32" i="1"/>
  <c r="E32" i="1" s="1"/>
  <c r="A33" i="1"/>
  <c r="E33" i="1" s="1"/>
  <c r="A34" i="1"/>
  <c r="E34" i="1" s="1"/>
  <c r="A35" i="1"/>
  <c r="E35" i="1" s="1"/>
  <c r="A36" i="1"/>
  <c r="E36" i="1" s="1"/>
  <c r="A37" i="1"/>
  <c r="E37" i="1" s="1"/>
  <c r="A38" i="1"/>
  <c r="E38" i="1" s="1"/>
  <c r="A39" i="1"/>
  <c r="E39" i="1" s="1"/>
  <c r="A40" i="1"/>
  <c r="E40" i="1" s="1"/>
  <c r="F40" i="1" s="1"/>
  <c r="A41" i="1"/>
  <c r="E41" i="1" s="1"/>
  <c r="F41" i="1" s="1"/>
  <c r="A42" i="1"/>
  <c r="E42" i="1" s="1"/>
  <c r="F42" i="1" s="1"/>
  <c r="J42" i="1" s="1"/>
  <c r="A43" i="1"/>
  <c r="E43" i="1" s="1"/>
  <c r="A44" i="1"/>
  <c r="E44" i="1" s="1"/>
  <c r="A45" i="1"/>
  <c r="E45" i="1" s="1"/>
  <c r="A46" i="1"/>
  <c r="E46" i="1" s="1"/>
  <c r="A47" i="1"/>
  <c r="E47" i="1" s="1"/>
  <c r="A48" i="1"/>
  <c r="E48" i="1" s="1"/>
  <c r="A49" i="1"/>
  <c r="E49" i="1" s="1"/>
  <c r="A50" i="1"/>
  <c r="E50" i="1" s="1"/>
  <c r="A51" i="1"/>
  <c r="E51" i="1" s="1"/>
  <c r="A52" i="1"/>
  <c r="E52" i="1" s="1"/>
  <c r="A53" i="1"/>
  <c r="E53" i="1" s="1"/>
  <c r="A54" i="1"/>
  <c r="E54" i="1" s="1"/>
  <c r="A55" i="1"/>
  <c r="E55" i="1" s="1"/>
  <c r="A56" i="1"/>
  <c r="E56" i="1" s="1"/>
  <c r="A57" i="1"/>
  <c r="E57" i="1" s="1"/>
  <c r="A58" i="1"/>
  <c r="E58" i="1" s="1"/>
  <c r="A59" i="1"/>
  <c r="E59" i="1" s="1"/>
  <c r="A60" i="1"/>
  <c r="E60" i="1" s="1"/>
  <c r="F60" i="1" s="1"/>
  <c r="A61" i="1"/>
  <c r="E61" i="1" s="1"/>
  <c r="F61" i="1" s="1"/>
  <c r="A62" i="1"/>
  <c r="E62" i="1" s="1"/>
  <c r="A63" i="1"/>
  <c r="E63" i="1" s="1"/>
  <c r="A64" i="1"/>
  <c r="E64" i="1" s="1"/>
  <c r="A65" i="1"/>
  <c r="E65" i="1" s="1"/>
  <c r="A66" i="1"/>
  <c r="E66" i="1" s="1"/>
  <c r="A67" i="1"/>
  <c r="E67" i="1" s="1"/>
  <c r="A68" i="1"/>
  <c r="E68" i="1" s="1"/>
  <c r="A69" i="1"/>
  <c r="E69" i="1" s="1"/>
  <c r="A70" i="1"/>
  <c r="E70" i="1" s="1"/>
  <c r="A71" i="1"/>
  <c r="E71" i="1" s="1"/>
  <c r="A72" i="1"/>
  <c r="E72" i="1" s="1"/>
  <c r="A73" i="1"/>
  <c r="E73" i="1" s="1"/>
  <c r="A74" i="1"/>
  <c r="E74" i="1" s="1"/>
  <c r="A75" i="1"/>
  <c r="E75" i="1" s="1"/>
  <c r="A76" i="1"/>
  <c r="E76" i="1" s="1"/>
  <c r="A77" i="1"/>
  <c r="E77" i="1" s="1"/>
  <c r="A78" i="1"/>
  <c r="E78" i="1" s="1"/>
  <c r="A79" i="1"/>
  <c r="E79" i="1" s="1"/>
  <c r="A80" i="1"/>
  <c r="E80" i="1" s="1"/>
  <c r="A81" i="1"/>
  <c r="E81" i="1" s="1"/>
  <c r="F81" i="1" s="1"/>
  <c r="A82" i="1"/>
  <c r="E82" i="1" s="1"/>
  <c r="A83" i="1"/>
  <c r="E83" i="1" s="1"/>
  <c r="A84" i="1"/>
  <c r="E84" i="1" s="1"/>
  <c r="A85" i="1"/>
  <c r="E85" i="1" s="1"/>
  <c r="A86" i="1"/>
  <c r="E86" i="1" s="1"/>
  <c r="A87" i="1"/>
  <c r="E87" i="1" s="1"/>
  <c r="A88" i="1"/>
  <c r="E88" i="1" s="1"/>
  <c r="A89" i="1"/>
  <c r="E89" i="1" s="1"/>
  <c r="A90" i="1"/>
  <c r="E90" i="1" s="1"/>
  <c r="A91" i="1"/>
  <c r="E91" i="1" s="1"/>
  <c r="A92" i="1"/>
  <c r="E92" i="1" s="1"/>
  <c r="A93" i="1"/>
  <c r="E93" i="1" s="1"/>
  <c r="A94" i="1"/>
  <c r="E94" i="1" s="1"/>
  <c r="A95" i="1"/>
  <c r="E95" i="1" s="1"/>
  <c r="A96" i="1"/>
  <c r="E96" i="1" s="1"/>
  <c r="A97" i="1"/>
  <c r="E97" i="1" s="1"/>
  <c r="A98" i="1"/>
  <c r="E98" i="1" s="1"/>
  <c r="A99" i="1"/>
  <c r="E99" i="1" s="1"/>
  <c r="A100" i="1"/>
  <c r="E100" i="1" s="1"/>
  <c r="F100" i="1" s="1"/>
  <c r="A101" i="1"/>
  <c r="E101" i="1" s="1"/>
  <c r="F101" i="1" s="1"/>
  <c r="A3" i="1"/>
  <c r="E3" i="1" s="1"/>
  <c r="A4" i="1"/>
  <c r="E4" i="1" s="1"/>
  <c r="A2" i="1"/>
  <c r="E2" i="1" s="1"/>
  <c r="B2" i="1"/>
  <c r="F59" i="1" l="1"/>
  <c r="J59" i="1" s="1"/>
  <c r="J61" i="1"/>
  <c r="J41" i="1"/>
  <c r="F99" i="1"/>
  <c r="J99" i="1" s="1"/>
  <c r="J81" i="1"/>
  <c r="F79" i="1"/>
  <c r="J79" i="1" s="1"/>
  <c r="J101" i="1"/>
  <c r="J21" i="1"/>
  <c r="F39" i="1"/>
  <c r="J39" i="1" s="1"/>
  <c r="J20" i="1"/>
  <c r="F19" i="1"/>
  <c r="J19" i="1"/>
  <c r="F77" i="1"/>
  <c r="J77" i="1" s="1"/>
  <c r="F18" i="1"/>
  <c r="J18" i="1" s="1"/>
  <c r="F57" i="1"/>
  <c r="J57" i="1" s="1"/>
  <c r="F32" i="1"/>
  <c r="J32" i="1" s="1"/>
  <c r="F97" i="1"/>
  <c r="J97" i="1" s="1"/>
  <c r="F92" i="1"/>
  <c r="J92" i="1" s="1"/>
  <c r="F8" i="1"/>
  <c r="J8" i="1" s="1"/>
  <c r="F78" i="1"/>
  <c r="J78" i="1" s="1"/>
  <c r="F17" i="1"/>
  <c r="J17" i="1" s="1"/>
  <c r="F12" i="1"/>
  <c r="J12" i="1" s="1"/>
  <c r="J40" i="1"/>
  <c r="F38" i="1"/>
  <c r="J38" i="1" s="1"/>
  <c r="F37" i="1"/>
  <c r="J37" i="1" s="1"/>
  <c r="F72" i="1"/>
  <c r="J72" i="1" s="1"/>
  <c r="J100" i="1"/>
  <c r="F58" i="1"/>
  <c r="J58" i="1" s="1"/>
  <c r="J60" i="1"/>
  <c r="F98" i="1"/>
  <c r="J98" i="1" s="1"/>
  <c r="F80" i="1"/>
  <c r="J80" i="1" s="1"/>
  <c r="F56" i="1"/>
  <c r="J56" i="1" s="1"/>
  <c r="F55" i="1"/>
  <c r="J55" i="1" s="1"/>
  <c r="F3" i="1"/>
  <c r="J3" i="1" s="1"/>
  <c r="F82" i="1"/>
  <c r="J82" i="1" s="1"/>
  <c r="F62" i="1"/>
  <c r="J62" i="1" s="1"/>
  <c r="F22" i="1"/>
  <c r="J22" i="1" s="1"/>
  <c r="F96" i="1"/>
  <c r="J96" i="1" s="1"/>
  <c r="F76" i="1"/>
  <c r="J76" i="1" s="1"/>
  <c r="F36" i="1"/>
  <c r="J36" i="1" s="1"/>
  <c r="F16" i="1"/>
  <c r="J16" i="1" s="1"/>
  <c r="F52" i="1"/>
  <c r="J52" i="1" s="1"/>
  <c r="F95" i="1"/>
  <c r="J95" i="1" s="1"/>
  <c r="F75" i="1"/>
  <c r="J75" i="1" s="1"/>
  <c r="F35" i="1"/>
  <c r="J35" i="1" s="1"/>
  <c r="F15" i="1"/>
  <c r="J15" i="1" s="1"/>
  <c r="F14" i="1"/>
  <c r="J14" i="1" s="1"/>
  <c r="F33" i="1"/>
  <c r="J33" i="1" s="1"/>
  <c r="F51" i="1"/>
  <c r="J51" i="1" s="1"/>
  <c r="F29" i="1"/>
  <c r="J29" i="1" s="1"/>
  <c r="F48" i="1"/>
  <c r="J48" i="1" s="1"/>
  <c r="F28" i="1"/>
  <c r="J28" i="1" s="1"/>
  <c r="F87" i="1"/>
  <c r="J87" i="1" s="1"/>
  <c r="F67" i="1"/>
  <c r="F47" i="1"/>
  <c r="J47" i="1" s="1"/>
  <c r="F27" i="1"/>
  <c r="F7" i="1"/>
  <c r="F94" i="1"/>
  <c r="J94" i="1" s="1"/>
  <c r="F50" i="1"/>
  <c r="J50" i="1" s="1"/>
  <c r="F88" i="1"/>
  <c r="J88" i="1" s="1"/>
  <c r="F66" i="1"/>
  <c r="J66" i="1" s="1"/>
  <c r="F46" i="1"/>
  <c r="J46" i="1" s="1"/>
  <c r="F26" i="1"/>
  <c r="J26" i="1" s="1"/>
  <c r="F6" i="1"/>
  <c r="J6" i="1" s="1"/>
  <c r="F54" i="1"/>
  <c r="J54" i="1" s="1"/>
  <c r="F71" i="1"/>
  <c r="J71" i="1" s="1"/>
  <c r="F49" i="1"/>
  <c r="J49" i="1" s="1"/>
  <c r="F86" i="1"/>
  <c r="J86" i="1" s="1"/>
  <c r="F65" i="1"/>
  <c r="J65" i="1" s="1"/>
  <c r="F25" i="1"/>
  <c r="J25" i="1" s="1"/>
  <c r="F84" i="1"/>
  <c r="J84" i="1" s="1"/>
  <c r="F64" i="1"/>
  <c r="J64" i="1" s="1"/>
  <c r="F44" i="1"/>
  <c r="J44" i="1" s="1"/>
  <c r="F24" i="1"/>
  <c r="J24" i="1" s="1"/>
  <c r="F34" i="1"/>
  <c r="J34" i="1" s="1"/>
  <c r="F53" i="1"/>
  <c r="J53" i="1" s="1"/>
  <c r="F91" i="1"/>
  <c r="J91" i="1" s="1"/>
  <c r="F10" i="1"/>
  <c r="J10" i="1" s="1"/>
  <c r="F69" i="1"/>
  <c r="J69" i="1" s="1"/>
  <c r="F68" i="1"/>
  <c r="J68" i="1" s="1"/>
  <c r="F85" i="1"/>
  <c r="J85" i="1" s="1"/>
  <c r="F45" i="1"/>
  <c r="J45" i="1" s="1"/>
  <c r="F5" i="1"/>
  <c r="J5" i="1" s="1"/>
  <c r="F4" i="1"/>
  <c r="J4" i="1" s="1"/>
  <c r="F83" i="1"/>
  <c r="J83" i="1" s="1"/>
  <c r="F63" i="1"/>
  <c r="J63" i="1" s="1"/>
  <c r="F43" i="1"/>
  <c r="J43" i="1" s="1"/>
  <c r="F23" i="1"/>
  <c r="J23" i="1" s="1"/>
  <c r="F74" i="1"/>
  <c r="J74" i="1" s="1"/>
  <c r="F13" i="1"/>
  <c r="J13" i="1" s="1"/>
  <c r="F11" i="1"/>
  <c r="F70" i="1"/>
  <c r="J70" i="1" s="1"/>
  <c r="F9" i="1"/>
  <c r="J9" i="1" s="1"/>
  <c r="F93" i="1"/>
  <c r="J93" i="1" s="1"/>
  <c r="F90" i="1"/>
  <c r="J90" i="1" s="1"/>
  <c r="F73" i="1"/>
  <c r="J73" i="1" s="1"/>
  <c r="F31" i="1"/>
  <c r="J31" i="1" s="1"/>
  <c r="F30" i="1"/>
  <c r="J30" i="1" s="1"/>
  <c r="F89" i="1"/>
  <c r="J89" i="1" s="1"/>
  <c r="F2" i="1"/>
  <c r="H61" i="1"/>
  <c r="I61" i="1" s="1"/>
  <c r="H41" i="1"/>
  <c r="H7" i="1" l="1"/>
  <c r="I7" i="1" s="1"/>
  <c r="J7" i="1"/>
  <c r="H27" i="1"/>
  <c r="I27" i="1" s="1"/>
  <c r="J27" i="1"/>
  <c r="H67" i="1"/>
  <c r="I67" i="1" s="1"/>
  <c r="J67" i="1"/>
  <c r="H11" i="1"/>
  <c r="I11" i="1" s="1"/>
  <c r="J11" i="1"/>
  <c r="H2" i="1"/>
  <c r="I2" i="1" s="1"/>
  <c r="J2" i="1"/>
  <c r="H91" i="1"/>
  <c r="I91" i="1" s="1"/>
  <c r="H81" i="1"/>
  <c r="I81" i="1" s="1"/>
  <c r="H76" i="1"/>
  <c r="I76" i="1" s="1"/>
  <c r="H93" i="1"/>
  <c r="I93" i="1" s="1"/>
  <c r="H10" i="1"/>
  <c r="I10" i="1" s="1"/>
  <c r="H25" i="1"/>
  <c r="I25" i="1" s="1"/>
  <c r="H13" i="1"/>
  <c r="I13" i="1" s="1"/>
  <c r="K11" i="1"/>
  <c r="K67" i="1"/>
  <c r="H47" i="1"/>
  <c r="I47" i="1" s="1"/>
  <c r="H20" i="1"/>
  <c r="I20" i="1" s="1"/>
  <c r="H40" i="1"/>
  <c r="I40" i="1" s="1"/>
  <c r="H80" i="1"/>
  <c r="I80" i="1" s="1"/>
  <c r="K61" i="1"/>
  <c r="K41" i="1"/>
  <c r="H71" i="1"/>
  <c r="I71" i="1" s="1"/>
  <c r="H85" i="1"/>
  <c r="I85" i="1" s="1"/>
  <c r="H73" i="1"/>
  <c r="I73" i="1" s="1"/>
  <c r="I41" i="1"/>
  <c r="K7" i="1" l="1"/>
  <c r="K27" i="1"/>
  <c r="H8" i="1"/>
  <c r="I8" i="1" s="1"/>
  <c r="K91" i="1"/>
  <c r="K81" i="1"/>
  <c r="H52" i="1"/>
  <c r="I52" i="1" s="1"/>
  <c r="H3" i="1"/>
  <c r="I3" i="1" s="1"/>
  <c r="H57" i="1"/>
  <c r="I57" i="1" s="1"/>
  <c r="H34" i="1"/>
  <c r="I34" i="1" s="1"/>
  <c r="H95" i="1"/>
  <c r="I95" i="1" s="1"/>
  <c r="H4" i="1"/>
  <c r="I4" i="1" s="1"/>
  <c r="K4" i="1"/>
  <c r="H9" i="1"/>
  <c r="I9" i="1" s="1"/>
  <c r="H101" i="1"/>
  <c r="H14" i="1"/>
  <c r="I14" i="1" s="1"/>
  <c r="H29" i="1"/>
  <c r="I29" i="1" s="1"/>
  <c r="H72" i="1"/>
  <c r="I72" i="1" s="1"/>
  <c r="H42" i="1"/>
  <c r="I42" i="1" s="1"/>
  <c r="H53" i="1"/>
  <c r="I53" i="1" s="1"/>
  <c r="H96" i="1"/>
  <c r="I96" i="1" s="1"/>
  <c r="H62" i="1"/>
  <c r="I62" i="1" s="1"/>
  <c r="H16" i="1"/>
  <c r="I16" i="1" s="1"/>
  <c r="H30" i="1"/>
  <c r="I30" i="1" s="1"/>
  <c r="H92" i="1"/>
  <c r="I92" i="1" s="1"/>
  <c r="H69" i="1"/>
  <c r="I69" i="1" s="1"/>
  <c r="H22" i="1"/>
  <c r="I22" i="1" s="1"/>
  <c r="H77" i="1"/>
  <c r="I77" i="1" s="1"/>
  <c r="H17" i="1"/>
  <c r="I17" i="1" s="1"/>
  <c r="H78" i="1"/>
  <c r="I78" i="1" s="1"/>
  <c r="H45" i="1"/>
  <c r="I45" i="1" s="1"/>
  <c r="H28" i="1"/>
  <c r="I28" i="1" s="1"/>
  <c r="H38" i="1"/>
  <c r="I38" i="1" s="1"/>
  <c r="H99" i="1"/>
  <c r="I99" i="1" s="1"/>
  <c r="H89" i="1"/>
  <c r="I89" i="1" s="1"/>
  <c r="H79" i="1"/>
  <c r="I79" i="1" s="1"/>
  <c r="H75" i="1"/>
  <c r="I75" i="1" s="1"/>
  <c r="H94" i="1"/>
  <c r="I94" i="1" s="1"/>
  <c r="H26" i="1"/>
  <c r="I26" i="1" s="1"/>
  <c r="H15" i="1"/>
  <c r="I15" i="1" s="1"/>
  <c r="H24" i="1"/>
  <c r="I24" i="1" s="1"/>
  <c r="H12" i="1"/>
  <c r="I12" i="1" s="1"/>
  <c r="H65" i="1"/>
  <c r="I65" i="1" s="1"/>
  <c r="K65" i="1"/>
  <c r="H68" i="1"/>
  <c r="I68" i="1" s="1"/>
  <c r="H18" i="1"/>
  <c r="I18" i="1" s="1"/>
  <c r="H83" i="1"/>
  <c r="I83" i="1" s="1"/>
  <c r="H88" i="1"/>
  <c r="I88" i="1" s="1"/>
  <c r="H87" i="1"/>
  <c r="I87" i="1" s="1"/>
  <c r="H32" i="1"/>
  <c r="I32" i="1" s="1"/>
  <c r="K32" i="1"/>
  <c r="H37" i="1"/>
  <c r="I37" i="1" s="1"/>
  <c r="H90" i="1"/>
  <c r="I90" i="1" s="1"/>
  <c r="H70" i="1"/>
  <c r="I70" i="1" s="1"/>
  <c r="H48" i="1"/>
  <c r="I48" i="1" s="1"/>
  <c r="K48" i="1"/>
  <c r="H44" i="1"/>
  <c r="I44" i="1" s="1"/>
  <c r="K44" i="1"/>
  <c r="H19" i="1"/>
  <c r="I19" i="1" s="1"/>
  <c r="H63" i="1"/>
  <c r="I63" i="1" s="1"/>
  <c r="H58" i="1"/>
  <c r="I58" i="1" s="1"/>
  <c r="H56" i="1"/>
  <c r="I56" i="1" s="1"/>
  <c r="H36" i="1"/>
  <c r="I36" i="1" s="1"/>
  <c r="H46" i="1"/>
  <c r="I46" i="1" s="1"/>
  <c r="K46" i="1"/>
  <c r="H43" i="1"/>
  <c r="I43" i="1" s="1"/>
  <c r="H31" i="1"/>
  <c r="I31" i="1" s="1"/>
  <c r="H5" i="1"/>
  <c r="I5" i="1" s="1"/>
  <c r="H97" i="1"/>
  <c r="I97" i="1" s="1"/>
  <c r="H33" i="1"/>
  <c r="I33" i="1" s="1"/>
  <c r="H49" i="1"/>
  <c r="I49" i="1" s="1"/>
  <c r="H23" i="1"/>
  <c r="I23" i="1" s="1"/>
  <c r="H55" i="1"/>
  <c r="I55" i="1" s="1"/>
  <c r="H98" i="1"/>
  <c r="I98" i="1" s="1"/>
  <c r="H74" i="1"/>
  <c r="I74" i="1" s="1"/>
  <c r="K74" i="1"/>
  <c r="H21" i="1"/>
  <c r="I21" i="1" s="1"/>
  <c r="H6" i="1"/>
  <c r="I6" i="1" s="1"/>
  <c r="H100" i="1"/>
  <c r="I100" i="1" s="1"/>
  <c r="H39" i="1"/>
  <c r="I39" i="1" s="1"/>
  <c r="H86" i="1"/>
  <c r="I86" i="1" s="1"/>
  <c r="H35" i="1"/>
  <c r="I35" i="1" s="1"/>
  <c r="H60" i="1"/>
  <c r="I60" i="1" s="1"/>
  <c r="H50" i="1"/>
  <c r="I50" i="1" s="1"/>
  <c r="H66" i="1"/>
  <c r="I66" i="1" s="1"/>
  <c r="H54" i="1"/>
  <c r="I54" i="1" s="1"/>
  <c r="H84" i="1"/>
  <c r="I84" i="1" s="1"/>
  <c r="H82" i="1"/>
  <c r="I82" i="1" s="1"/>
  <c r="K82" i="1"/>
  <c r="H59" i="1"/>
  <c r="I59" i="1" s="1"/>
  <c r="H64" i="1"/>
  <c r="I64" i="1" s="1"/>
  <c r="K64" i="1"/>
  <c r="K25" i="1"/>
  <c r="K10" i="1"/>
  <c r="H51" i="1"/>
  <c r="I51" i="1" s="1"/>
  <c r="K93" i="1"/>
  <c r="K76" i="1"/>
  <c r="K47" i="1"/>
  <c r="K13" i="1"/>
  <c r="K80" i="1"/>
  <c r="K40" i="1"/>
  <c r="K20" i="1"/>
  <c r="K73" i="1"/>
  <c r="K71" i="1"/>
  <c r="K85" i="1"/>
  <c r="K2" i="1"/>
  <c r="K31" i="1" l="1"/>
  <c r="K86" i="1"/>
  <c r="K99" i="1"/>
  <c r="K9" i="1"/>
  <c r="K6" i="1"/>
  <c r="K87" i="1"/>
  <c r="K97" i="1"/>
  <c r="K45" i="1"/>
  <c r="K54" i="1"/>
  <c r="K8" i="1"/>
  <c r="K90" i="1"/>
  <c r="K66" i="1"/>
  <c r="K98" i="1"/>
  <c r="K3" i="1"/>
  <c r="K14" i="1"/>
  <c r="K84" i="1"/>
  <c r="K12" i="1"/>
  <c r="K28" i="1"/>
  <c r="K95" i="1"/>
  <c r="K17" i="1"/>
  <c r="K42" i="1"/>
  <c r="K88" i="1"/>
  <c r="K75" i="1"/>
  <c r="K83" i="1"/>
  <c r="K57" i="1"/>
  <c r="K62" i="1"/>
  <c r="K33" i="1"/>
  <c r="K92" i="1"/>
  <c r="K5" i="1"/>
  <c r="K49" i="1"/>
  <c r="K22" i="1"/>
  <c r="K100" i="1"/>
  <c r="K30" i="1"/>
  <c r="K43" i="1"/>
  <c r="K52" i="1"/>
  <c r="K60" i="1"/>
  <c r="K23" i="1"/>
  <c r="K94" i="1"/>
  <c r="K77" i="1"/>
  <c r="K68" i="1"/>
  <c r="K24" i="1"/>
  <c r="K37" i="1"/>
  <c r="K96" i="1"/>
  <c r="K34" i="1"/>
  <c r="K39" i="1"/>
  <c r="K38" i="1"/>
  <c r="K78" i="1"/>
  <c r="K26" i="1"/>
  <c r="K59" i="1"/>
  <c r="K101" i="1"/>
  <c r="I101" i="1"/>
  <c r="K16" i="1"/>
  <c r="K21" i="1"/>
  <c r="K50" i="1"/>
  <c r="K35" i="1"/>
  <c r="K63" i="1"/>
  <c r="K72" i="1"/>
  <c r="K58" i="1"/>
  <c r="K69" i="1"/>
  <c r="K55" i="1"/>
  <c r="K89" i="1"/>
  <c r="K29" i="1"/>
  <c r="K18" i="1"/>
  <c r="K19" i="1"/>
  <c r="K51" i="1"/>
  <c r="K79" i="1"/>
  <c r="K53" i="1"/>
  <c r="K70" i="1"/>
  <c r="K56" i="1"/>
  <c r="K36" i="1"/>
  <c r="K15" i="1"/>
</calcChain>
</file>

<file path=xl/sharedStrings.xml><?xml version="1.0" encoding="utf-8"?>
<sst xmlns="http://schemas.openxmlformats.org/spreadsheetml/2006/main" count="124" uniqueCount="15">
  <si>
    <t>user_id</t>
  </si>
  <si>
    <t>transaction_id</t>
  </si>
  <si>
    <t>date</t>
  </si>
  <si>
    <t>quantity</t>
  </si>
  <si>
    <t>sell_price</t>
  </si>
  <si>
    <t>total_sell_price</t>
  </si>
  <si>
    <t>total_revenue</t>
  </si>
  <si>
    <t>gold_price</t>
  </si>
  <si>
    <t>transaction_fee</t>
  </si>
  <si>
    <t>total_net_revenue</t>
  </si>
  <si>
    <t>transaction_type</t>
  </si>
  <si>
    <t>year</t>
  </si>
  <si>
    <t>sell</t>
  </si>
  <si>
    <t>buy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</si>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</sst>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561C-717B-4113-A58C-F0DA28736E05}">
  <dimension ref="A1:K101"/>
  <sheetViews>
    <sheetView workbookViewId="0">
      <selection activeCell="B2" sqref="B2"/>
    </sheetView>
  </sheetViews>
  <sheetFormatPr defaultRowHeight="14.25" x14ac:dyDescent="0.45"/>
  <cols>
    <col min="1" max="1" width="9.9296875" style="1" bestFit="1" customWidth="1"/>
    <col min="2" max="2" width="13.265625" bestFit="1" customWidth="1"/>
    <col min="8" max="8" width="12.9296875" bestFit="1" customWidth="1"/>
    <col min="9" max="9" width="12.59765625" bestFit="1" customWidth="1"/>
    <col min="10" max="10" width="11.33203125" bestFit="1" customWidth="1"/>
    <col min="11" max="11" width="14.73046875" bestFit="1" customWidth="1"/>
  </cols>
  <sheetData>
    <row r="1" spans="1:11" x14ac:dyDescent="0.45">
      <c r="A1" s="1" t="s">
        <v>2</v>
      </c>
      <c r="B1" t="s">
        <v>1</v>
      </c>
      <c r="C1" t="s">
        <v>0</v>
      </c>
      <c r="D1" t="s">
        <v>10</v>
      </c>
      <c r="E1" t="s">
        <v>7</v>
      </c>
      <c r="F1" t="s">
        <v>4</v>
      </c>
      <c r="G1" t="s">
        <v>3</v>
      </c>
      <c r="H1" t="s">
        <v>8</v>
      </c>
      <c r="I1" t="s">
        <v>5</v>
      </c>
      <c r="J1" t="s">
        <v>6</v>
      </c>
      <c r="K1" t="s">
        <v>9</v>
      </c>
    </row>
    <row r="2" spans="1:11" x14ac:dyDescent="0.45">
      <c r="A2" s="1">
        <f ca="1">RANDBETWEEN(DATE(2020, 1, 1), DATE(2024, 12, 31))</f>
        <v>43842</v>
      </c>
      <c r="B2" s="2" t="str">
        <f>"DG"&amp;TEXT(ROW(A1), "0000000000")</f>
        <v>DG0000000001</v>
      </c>
      <c r="C2">
        <f ca="1">RANDBETWEEN(1, 50)</f>
        <v>6</v>
      </c>
      <c r="D2" t="str">
        <f ca="1">IF(RANDBETWEEN(0,1)=0, "sell", "buy")</f>
        <v>sell</v>
      </c>
      <c r="E2">
        <f ca="1">LOOKUP(YEAR(A2),dummy_gold_price!$A$2:$A$6,dummy_gold_price!$B$2:$B$6)</f>
        <v>900000</v>
      </c>
      <c r="F2">
        <f ca="1">E2+IF(D2="buy", E2*0.02, -E2*0.02)</f>
        <v>882000</v>
      </c>
      <c r="G2">
        <f ca="1">RANDBETWEEN(0, 1000)/100</f>
        <v>2.91</v>
      </c>
      <c r="H2">
        <f ca="1">F2*G2*0.01</f>
        <v>25666.2</v>
      </c>
      <c r="I2">
        <f ca="1">F2*G2+H2</f>
        <v>2592286.2000000002</v>
      </c>
      <c r="J2">
        <f ca="1">ABS(F2-E2)*G2</f>
        <v>52380</v>
      </c>
      <c r="K2">
        <f ca="1">J2-H2</f>
        <v>26713.8</v>
      </c>
    </row>
    <row r="3" spans="1:11" x14ac:dyDescent="0.45">
      <c r="A3" s="1">
        <f t="shared" ref="A3:A66" ca="1" si="0">RANDBETWEEN(DATE(2020, 1, 1), DATE(2024, 12, 31))</f>
        <v>45219</v>
      </c>
      <c r="C3">
        <f t="shared" ref="C3:C66" ca="1" si="1">RANDBETWEEN(1, 50)</f>
        <v>8</v>
      </c>
      <c r="D3" t="str">
        <f t="shared" ref="D3:D66" ca="1" si="2">IF(RANDBETWEEN(0,1)=0, "sell", "buy")</f>
        <v>sell</v>
      </c>
      <c r="E3">
        <f ca="1">LOOKUP(YEAR(A3),dummy_gold_price!$A$2:$A$6,dummy_gold_price!$B$2:$B$6)</f>
        <v>1150000</v>
      </c>
      <c r="F3">
        <f t="shared" ref="F3:F66" ca="1" si="3">E3+IF(D3="buy", E3*0.02, -E3*0.02)</f>
        <v>1127000</v>
      </c>
      <c r="G3">
        <f t="shared" ref="G3:G66" ca="1" si="4">RANDBETWEEN(0, 1000)/100</f>
        <v>7.92</v>
      </c>
      <c r="H3">
        <f t="shared" ref="H3:H66" ca="1" si="5">F3*G3*0.01</f>
        <v>89258.400000000009</v>
      </c>
      <c r="I3">
        <f t="shared" ref="I3:I66" ca="1" si="6">F3*G3+H3</f>
        <v>9015098.4000000004</v>
      </c>
      <c r="J3">
        <f t="shared" ref="J3:J66" ca="1" si="7">ABS(F3-E3)*G3</f>
        <v>182160</v>
      </c>
      <c r="K3">
        <f t="shared" ref="K3:K66" ca="1" si="8">J3-H3</f>
        <v>92901.599999999991</v>
      </c>
    </row>
    <row r="4" spans="1:11" x14ac:dyDescent="0.45">
      <c r="A4" s="1">
        <f t="shared" ca="1" si="0"/>
        <v>44788</v>
      </c>
      <c r="C4">
        <f t="shared" ca="1" si="1"/>
        <v>19</v>
      </c>
      <c r="D4" t="str">
        <f t="shared" ca="1" si="2"/>
        <v>sell</v>
      </c>
      <c r="E4">
        <f ca="1">LOOKUP(YEAR(A4),dummy_gold_price!$A$2:$A$6,dummy_gold_price!$B$2:$B$6)</f>
        <v>1050000</v>
      </c>
      <c r="F4">
        <f t="shared" ca="1" si="3"/>
        <v>1029000</v>
      </c>
      <c r="G4">
        <f t="shared" ca="1" si="4"/>
        <v>3.41</v>
      </c>
      <c r="H4">
        <f t="shared" ca="1" si="5"/>
        <v>35088.9</v>
      </c>
      <c r="I4">
        <f t="shared" ca="1" si="6"/>
        <v>3543978.9</v>
      </c>
      <c r="J4">
        <f t="shared" ca="1" si="7"/>
        <v>71610</v>
      </c>
      <c r="K4">
        <f t="shared" ca="1" si="8"/>
        <v>36521.1</v>
      </c>
    </row>
    <row r="5" spans="1:11" x14ac:dyDescent="0.45">
      <c r="A5" s="1">
        <f t="shared" ca="1" si="0"/>
        <v>44073</v>
      </c>
      <c r="C5">
        <f t="shared" ca="1" si="1"/>
        <v>23</v>
      </c>
      <c r="D5" t="str">
        <f t="shared" ca="1" si="2"/>
        <v>sell</v>
      </c>
      <c r="E5">
        <f ca="1">LOOKUP(YEAR(A5),dummy_gold_price!$A$2:$A$6,dummy_gold_price!$B$2:$B$6)</f>
        <v>900000</v>
      </c>
      <c r="F5">
        <f t="shared" ca="1" si="3"/>
        <v>882000</v>
      </c>
      <c r="G5">
        <f t="shared" ca="1" si="4"/>
        <v>7.51</v>
      </c>
      <c r="H5">
        <f t="shared" ca="1" si="5"/>
        <v>66238.2</v>
      </c>
      <c r="I5">
        <f t="shared" ca="1" si="6"/>
        <v>6690058.2000000002</v>
      </c>
      <c r="J5">
        <f t="shared" ca="1" si="7"/>
        <v>135180</v>
      </c>
      <c r="K5">
        <f t="shared" ca="1" si="8"/>
        <v>68941.8</v>
      </c>
    </row>
    <row r="6" spans="1:11" x14ac:dyDescent="0.45">
      <c r="A6" s="1">
        <f t="shared" ca="1" si="0"/>
        <v>44236</v>
      </c>
      <c r="C6">
        <f t="shared" ca="1" si="1"/>
        <v>6</v>
      </c>
      <c r="D6" t="str">
        <f t="shared" ca="1" si="2"/>
        <v>buy</v>
      </c>
      <c r="E6">
        <f ca="1">LOOKUP(YEAR(A6),dummy_gold_price!$A$2:$A$6,dummy_gold_price!$B$2:$B$6)</f>
        <v>950000</v>
      </c>
      <c r="F6">
        <f t="shared" ca="1" si="3"/>
        <v>969000</v>
      </c>
      <c r="G6">
        <f t="shared" ca="1" si="4"/>
        <v>6.24</v>
      </c>
      <c r="H6">
        <f t="shared" ca="1" si="5"/>
        <v>60465.599999999999</v>
      </c>
      <c r="I6">
        <f t="shared" ca="1" si="6"/>
        <v>6107025.5999999996</v>
      </c>
      <c r="J6">
        <f t="shared" ca="1" si="7"/>
        <v>118560</v>
      </c>
      <c r="K6">
        <f t="shared" ca="1" si="8"/>
        <v>58094.400000000001</v>
      </c>
    </row>
    <row r="7" spans="1:11" x14ac:dyDescent="0.45">
      <c r="A7" s="1">
        <f t="shared" ca="1" si="0"/>
        <v>44162</v>
      </c>
      <c r="C7">
        <f t="shared" ca="1" si="1"/>
        <v>35</v>
      </c>
      <c r="D7" t="str">
        <f t="shared" ca="1" si="2"/>
        <v>sell</v>
      </c>
      <c r="E7">
        <f ca="1">LOOKUP(YEAR(A7),dummy_gold_price!$A$2:$A$6,dummy_gold_price!$B$2:$B$6)</f>
        <v>900000</v>
      </c>
      <c r="F7">
        <f t="shared" ca="1" si="3"/>
        <v>882000</v>
      </c>
      <c r="G7">
        <f t="shared" ca="1" si="4"/>
        <v>9.1300000000000008</v>
      </c>
      <c r="H7">
        <f t="shared" ca="1" si="5"/>
        <v>80526.600000000006</v>
      </c>
      <c r="I7">
        <f t="shared" ca="1" si="6"/>
        <v>8133186.6000000006</v>
      </c>
      <c r="J7">
        <f t="shared" ca="1" si="7"/>
        <v>164340</v>
      </c>
      <c r="K7">
        <f t="shared" ca="1" si="8"/>
        <v>83813.399999999994</v>
      </c>
    </row>
    <row r="8" spans="1:11" x14ac:dyDescent="0.45">
      <c r="A8" s="1">
        <f t="shared" ca="1" si="0"/>
        <v>45076</v>
      </c>
      <c r="C8">
        <f t="shared" ca="1" si="1"/>
        <v>49</v>
      </c>
      <c r="D8" t="str">
        <f t="shared" ca="1" si="2"/>
        <v>buy</v>
      </c>
      <c r="E8">
        <f ca="1">LOOKUP(YEAR(A8),dummy_gold_price!$A$2:$A$6,dummy_gold_price!$B$2:$B$6)</f>
        <v>1150000</v>
      </c>
      <c r="F8">
        <f t="shared" ca="1" si="3"/>
        <v>1173000</v>
      </c>
      <c r="G8">
        <f t="shared" ca="1" si="4"/>
        <v>0.34</v>
      </c>
      <c r="H8">
        <f t="shared" ca="1" si="5"/>
        <v>3988.2000000000003</v>
      </c>
      <c r="I8">
        <f t="shared" ca="1" si="6"/>
        <v>402808.2</v>
      </c>
      <c r="J8">
        <f t="shared" ca="1" si="7"/>
        <v>7820.0000000000009</v>
      </c>
      <c r="K8">
        <f t="shared" ca="1" si="8"/>
        <v>3831.8000000000006</v>
      </c>
    </row>
    <row r="9" spans="1:11" x14ac:dyDescent="0.45">
      <c r="A9" s="1">
        <f t="shared" ca="1" si="0"/>
        <v>45264</v>
      </c>
      <c r="C9">
        <f t="shared" ca="1" si="1"/>
        <v>28</v>
      </c>
      <c r="D9" t="str">
        <f t="shared" ca="1" si="2"/>
        <v>buy</v>
      </c>
      <c r="E9">
        <f ca="1">LOOKUP(YEAR(A9),dummy_gold_price!$A$2:$A$6,dummy_gold_price!$B$2:$B$6)</f>
        <v>1150000</v>
      </c>
      <c r="F9">
        <f t="shared" ca="1" si="3"/>
        <v>1173000</v>
      </c>
      <c r="G9">
        <f t="shared" ca="1" si="4"/>
        <v>0.54</v>
      </c>
      <c r="H9">
        <f t="shared" ca="1" si="5"/>
        <v>6334.2</v>
      </c>
      <c r="I9">
        <f t="shared" ca="1" si="6"/>
        <v>639754.19999999995</v>
      </c>
      <c r="J9">
        <f t="shared" ca="1" si="7"/>
        <v>12420</v>
      </c>
      <c r="K9">
        <f t="shared" ca="1" si="8"/>
        <v>6085.8</v>
      </c>
    </row>
    <row r="10" spans="1:11" x14ac:dyDescent="0.45">
      <c r="A10" s="1">
        <f t="shared" ca="1" si="0"/>
        <v>44197</v>
      </c>
      <c r="C10">
        <f t="shared" ca="1" si="1"/>
        <v>26</v>
      </c>
      <c r="D10" t="str">
        <f t="shared" ca="1" si="2"/>
        <v>sell</v>
      </c>
      <c r="E10">
        <f ca="1">LOOKUP(YEAR(A10),dummy_gold_price!$A$2:$A$6,dummy_gold_price!$B$2:$B$6)</f>
        <v>950000</v>
      </c>
      <c r="F10">
        <f t="shared" ca="1" si="3"/>
        <v>931000</v>
      </c>
      <c r="G10">
        <f t="shared" ca="1" si="4"/>
        <v>7.57</v>
      </c>
      <c r="H10">
        <f t="shared" ca="1" si="5"/>
        <v>70476.7</v>
      </c>
      <c r="I10">
        <f t="shared" ca="1" si="6"/>
        <v>7118146.7000000002</v>
      </c>
      <c r="J10">
        <f t="shared" ca="1" si="7"/>
        <v>143830</v>
      </c>
      <c r="K10">
        <f t="shared" ca="1" si="8"/>
        <v>73353.3</v>
      </c>
    </row>
    <row r="11" spans="1:11" x14ac:dyDescent="0.45">
      <c r="A11" s="1">
        <f t="shared" ca="1" si="0"/>
        <v>45486</v>
      </c>
      <c r="C11">
        <f t="shared" ca="1" si="1"/>
        <v>50</v>
      </c>
      <c r="D11" t="str">
        <f t="shared" ca="1" si="2"/>
        <v>buy</v>
      </c>
      <c r="E11">
        <f ca="1">LOOKUP(YEAR(A11),dummy_gold_price!$A$2:$A$6,dummy_gold_price!$B$2:$B$6)</f>
        <v>1250000</v>
      </c>
      <c r="F11">
        <f t="shared" ca="1" si="3"/>
        <v>1275000</v>
      </c>
      <c r="G11">
        <f t="shared" ca="1" si="4"/>
        <v>3.17</v>
      </c>
      <c r="H11">
        <f t="shared" ca="1" si="5"/>
        <v>40417.5</v>
      </c>
      <c r="I11">
        <f t="shared" ca="1" si="6"/>
        <v>4082167.5</v>
      </c>
      <c r="J11">
        <f t="shared" ca="1" si="7"/>
        <v>79250</v>
      </c>
      <c r="K11">
        <f t="shared" ca="1" si="8"/>
        <v>38832.5</v>
      </c>
    </row>
    <row r="12" spans="1:11" x14ac:dyDescent="0.45">
      <c r="A12" s="1">
        <f t="shared" ca="1" si="0"/>
        <v>45617</v>
      </c>
      <c r="C12">
        <f t="shared" ca="1" si="1"/>
        <v>23</v>
      </c>
      <c r="D12" t="str">
        <f t="shared" ca="1" si="2"/>
        <v>sell</v>
      </c>
      <c r="E12">
        <f ca="1">LOOKUP(YEAR(A12),dummy_gold_price!$A$2:$A$6,dummy_gold_price!$B$2:$B$6)</f>
        <v>1250000</v>
      </c>
      <c r="F12">
        <f t="shared" ca="1" si="3"/>
        <v>1225000</v>
      </c>
      <c r="G12">
        <f t="shared" ca="1" si="4"/>
        <v>3.15</v>
      </c>
      <c r="H12">
        <f t="shared" ca="1" si="5"/>
        <v>38587.5</v>
      </c>
      <c r="I12">
        <f t="shared" ca="1" si="6"/>
        <v>3897337.5</v>
      </c>
      <c r="J12">
        <f t="shared" ca="1" si="7"/>
        <v>78750</v>
      </c>
      <c r="K12">
        <f t="shared" ca="1" si="8"/>
        <v>40162.5</v>
      </c>
    </row>
    <row r="13" spans="1:11" x14ac:dyDescent="0.45">
      <c r="A13" s="1">
        <f t="shared" ca="1" si="0"/>
        <v>45368</v>
      </c>
      <c r="C13">
        <f t="shared" ca="1" si="1"/>
        <v>39</v>
      </c>
      <c r="D13" t="str">
        <f t="shared" ca="1" si="2"/>
        <v>sell</v>
      </c>
      <c r="E13">
        <f ca="1">LOOKUP(YEAR(A13),dummy_gold_price!$A$2:$A$6,dummy_gold_price!$B$2:$B$6)</f>
        <v>1250000</v>
      </c>
      <c r="F13">
        <f t="shared" ca="1" si="3"/>
        <v>1225000</v>
      </c>
      <c r="G13">
        <f t="shared" ca="1" si="4"/>
        <v>8.8800000000000008</v>
      </c>
      <c r="H13">
        <f t="shared" ca="1" si="5"/>
        <v>108780.00000000001</v>
      </c>
      <c r="I13">
        <f t="shared" ca="1" si="6"/>
        <v>10986780.000000002</v>
      </c>
      <c r="J13">
        <f t="shared" ca="1" si="7"/>
        <v>222000.00000000003</v>
      </c>
      <c r="K13">
        <f t="shared" ca="1" si="8"/>
        <v>113220.00000000001</v>
      </c>
    </row>
    <row r="14" spans="1:11" x14ac:dyDescent="0.45">
      <c r="A14" s="1">
        <f t="shared" ca="1" si="0"/>
        <v>43876</v>
      </c>
      <c r="C14">
        <f t="shared" ca="1" si="1"/>
        <v>15</v>
      </c>
      <c r="D14" t="str">
        <f t="shared" ca="1" si="2"/>
        <v>buy</v>
      </c>
      <c r="E14">
        <f ca="1">LOOKUP(YEAR(A14),dummy_gold_price!$A$2:$A$6,dummy_gold_price!$B$2:$B$6)</f>
        <v>900000</v>
      </c>
      <c r="F14">
        <f t="shared" ca="1" si="3"/>
        <v>918000</v>
      </c>
      <c r="G14">
        <f t="shared" ca="1" si="4"/>
        <v>8.39</v>
      </c>
      <c r="H14">
        <f t="shared" ca="1" si="5"/>
        <v>77020.200000000012</v>
      </c>
      <c r="I14">
        <f t="shared" ca="1" si="6"/>
        <v>7779040.2000000011</v>
      </c>
      <c r="J14">
        <f t="shared" ca="1" si="7"/>
        <v>151020</v>
      </c>
      <c r="K14">
        <f t="shared" ca="1" si="8"/>
        <v>73999.799999999988</v>
      </c>
    </row>
    <row r="15" spans="1:11" x14ac:dyDescent="0.45">
      <c r="A15" s="1">
        <f t="shared" ca="1" si="0"/>
        <v>44511</v>
      </c>
      <c r="C15">
        <f t="shared" ca="1" si="1"/>
        <v>36</v>
      </c>
      <c r="D15" t="str">
        <f t="shared" ca="1" si="2"/>
        <v>sell</v>
      </c>
      <c r="E15">
        <f ca="1">LOOKUP(YEAR(A15),dummy_gold_price!$A$2:$A$6,dummy_gold_price!$B$2:$B$6)</f>
        <v>950000</v>
      </c>
      <c r="F15">
        <f t="shared" ca="1" si="3"/>
        <v>931000</v>
      </c>
      <c r="G15">
        <f t="shared" ca="1" si="4"/>
        <v>1.91</v>
      </c>
      <c r="H15">
        <f t="shared" ca="1" si="5"/>
        <v>17782.100000000002</v>
      </c>
      <c r="I15">
        <f t="shared" ca="1" si="6"/>
        <v>1795992.1</v>
      </c>
      <c r="J15">
        <f t="shared" ca="1" si="7"/>
        <v>36290</v>
      </c>
      <c r="K15">
        <f t="shared" ca="1" si="8"/>
        <v>18507.899999999998</v>
      </c>
    </row>
    <row r="16" spans="1:11" x14ac:dyDescent="0.45">
      <c r="A16" s="1">
        <f t="shared" ca="1" si="0"/>
        <v>45582</v>
      </c>
      <c r="C16">
        <f t="shared" ca="1" si="1"/>
        <v>8</v>
      </c>
      <c r="D16" t="str">
        <f t="shared" ca="1" si="2"/>
        <v>buy</v>
      </c>
      <c r="E16">
        <f ca="1">LOOKUP(YEAR(A16),dummy_gold_price!$A$2:$A$6,dummy_gold_price!$B$2:$B$6)</f>
        <v>1250000</v>
      </c>
      <c r="F16">
        <f t="shared" ca="1" si="3"/>
        <v>1275000</v>
      </c>
      <c r="G16">
        <f t="shared" ca="1" si="4"/>
        <v>7.18</v>
      </c>
      <c r="H16">
        <f t="shared" ca="1" si="5"/>
        <v>91545</v>
      </c>
      <c r="I16">
        <f t="shared" ca="1" si="6"/>
        <v>9246045</v>
      </c>
      <c r="J16">
        <f t="shared" ca="1" si="7"/>
        <v>179500</v>
      </c>
      <c r="K16">
        <f t="shared" ca="1" si="8"/>
        <v>87955</v>
      </c>
    </row>
    <row r="17" spans="1:11" x14ac:dyDescent="0.45">
      <c r="A17" s="1">
        <f t="shared" ca="1" si="0"/>
        <v>44612</v>
      </c>
      <c r="C17">
        <f t="shared" ca="1" si="1"/>
        <v>3</v>
      </c>
      <c r="D17" t="str">
        <f t="shared" ca="1" si="2"/>
        <v>sell</v>
      </c>
      <c r="E17">
        <f ca="1">LOOKUP(YEAR(A17),dummy_gold_price!$A$2:$A$6,dummy_gold_price!$B$2:$B$6)</f>
        <v>1050000</v>
      </c>
      <c r="F17">
        <f t="shared" ca="1" si="3"/>
        <v>1029000</v>
      </c>
      <c r="G17">
        <f t="shared" ca="1" si="4"/>
        <v>7.38</v>
      </c>
      <c r="H17">
        <f t="shared" ca="1" si="5"/>
        <v>75940.2</v>
      </c>
      <c r="I17">
        <f t="shared" ca="1" si="6"/>
        <v>7669960.2000000002</v>
      </c>
      <c r="J17">
        <f t="shared" ca="1" si="7"/>
        <v>154980</v>
      </c>
      <c r="K17">
        <f t="shared" ca="1" si="8"/>
        <v>79039.8</v>
      </c>
    </row>
    <row r="18" spans="1:11" x14ac:dyDescent="0.45">
      <c r="A18" s="1">
        <f t="shared" ca="1" si="0"/>
        <v>45108</v>
      </c>
      <c r="C18">
        <f t="shared" ca="1" si="1"/>
        <v>43</v>
      </c>
      <c r="D18" t="str">
        <f t="shared" ca="1" si="2"/>
        <v>sell</v>
      </c>
      <c r="E18">
        <f ca="1">LOOKUP(YEAR(A18),dummy_gold_price!$A$2:$A$6,dummy_gold_price!$B$2:$B$6)</f>
        <v>1150000</v>
      </c>
      <c r="F18">
        <f t="shared" ca="1" si="3"/>
        <v>1127000</v>
      </c>
      <c r="G18">
        <f t="shared" ca="1" si="4"/>
        <v>6.5</v>
      </c>
      <c r="H18">
        <f t="shared" ca="1" si="5"/>
        <v>73255</v>
      </c>
      <c r="I18">
        <f t="shared" ca="1" si="6"/>
        <v>7398755</v>
      </c>
      <c r="J18">
        <f t="shared" ca="1" si="7"/>
        <v>149500</v>
      </c>
      <c r="K18">
        <f t="shared" ca="1" si="8"/>
        <v>76245</v>
      </c>
    </row>
    <row r="19" spans="1:11" x14ac:dyDescent="0.45">
      <c r="A19" s="1">
        <f t="shared" ca="1" si="0"/>
        <v>44223</v>
      </c>
      <c r="C19">
        <f t="shared" ca="1" si="1"/>
        <v>30</v>
      </c>
      <c r="D19" t="str">
        <f t="shared" ca="1" si="2"/>
        <v>sell</v>
      </c>
      <c r="E19">
        <f ca="1">LOOKUP(YEAR(A19),dummy_gold_price!$A$2:$A$6,dummy_gold_price!$B$2:$B$6)</f>
        <v>950000</v>
      </c>
      <c r="F19">
        <f t="shared" ca="1" si="3"/>
        <v>931000</v>
      </c>
      <c r="G19">
        <f t="shared" ca="1" si="4"/>
        <v>9.49</v>
      </c>
      <c r="H19">
        <f t="shared" ca="1" si="5"/>
        <v>88351.900000000009</v>
      </c>
      <c r="I19">
        <f t="shared" ca="1" si="6"/>
        <v>8923541.9000000004</v>
      </c>
      <c r="J19">
        <f t="shared" ca="1" si="7"/>
        <v>180310</v>
      </c>
      <c r="K19">
        <f t="shared" ca="1" si="8"/>
        <v>91958.099999999991</v>
      </c>
    </row>
    <row r="20" spans="1:11" x14ac:dyDescent="0.45">
      <c r="A20" s="1">
        <f t="shared" ca="1" si="0"/>
        <v>44906</v>
      </c>
      <c r="C20">
        <f t="shared" ca="1" si="1"/>
        <v>24</v>
      </c>
      <c r="D20" t="str">
        <f t="shared" ca="1" si="2"/>
        <v>sell</v>
      </c>
      <c r="E20">
        <f ca="1">LOOKUP(YEAR(A20),dummy_gold_price!$A$2:$A$6,dummy_gold_price!$B$2:$B$6)</f>
        <v>1050000</v>
      </c>
      <c r="F20">
        <f t="shared" ca="1" si="3"/>
        <v>1029000</v>
      </c>
      <c r="G20">
        <f t="shared" ca="1" si="4"/>
        <v>8.82</v>
      </c>
      <c r="H20">
        <f t="shared" ca="1" si="5"/>
        <v>90757.8</v>
      </c>
      <c r="I20">
        <f t="shared" ca="1" si="6"/>
        <v>9166537.8000000007</v>
      </c>
      <c r="J20">
        <f t="shared" ca="1" si="7"/>
        <v>185220</v>
      </c>
      <c r="K20">
        <f t="shared" ca="1" si="8"/>
        <v>94462.2</v>
      </c>
    </row>
    <row r="21" spans="1:11" x14ac:dyDescent="0.45">
      <c r="A21" s="1">
        <f t="shared" ca="1" si="0"/>
        <v>44577</v>
      </c>
      <c r="C21">
        <f t="shared" ca="1" si="1"/>
        <v>20</v>
      </c>
      <c r="D21" t="str">
        <f t="shared" ca="1" si="2"/>
        <v>buy</v>
      </c>
      <c r="E21">
        <f ca="1">LOOKUP(YEAR(A21),dummy_gold_price!$A$2:$A$6,dummy_gold_price!$B$2:$B$6)</f>
        <v>1050000</v>
      </c>
      <c r="F21">
        <f t="shared" ca="1" si="3"/>
        <v>1071000</v>
      </c>
      <c r="G21">
        <f t="shared" ca="1" si="4"/>
        <v>5.38</v>
      </c>
      <c r="H21">
        <f t="shared" ca="1" si="5"/>
        <v>57619.8</v>
      </c>
      <c r="I21">
        <f t="shared" ca="1" si="6"/>
        <v>5819599.7999999998</v>
      </c>
      <c r="J21">
        <f t="shared" ca="1" si="7"/>
        <v>112980</v>
      </c>
      <c r="K21">
        <f t="shared" ca="1" si="8"/>
        <v>55360.2</v>
      </c>
    </row>
    <row r="22" spans="1:11" x14ac:dyDescent="0.45">
      <c r="A22" s="1">
        <f t="shared" ca="1" si="0"/>
        <v>45359</v>
      </c>
      <c r="C22">
        <f t="shared" ca="1" si="1"/>
        <v>19</v>
      </c>
      <c r="D22" t="str">
        <f t="shared" ca="1" si="2"/>
        <v>buy</v>
      </c>
      <c r="E22">
        <f ca="1">LOOKUP(YEAR(A22),dummy_gold_price!$A$2:$A$6,dummy_gold_price!$B$2:$B$6)</f>
        <v>1250000</v>
      </c>
      <c r="F22">
        <f t="shared" ca="1" si="3"/>
        <v>1275000</v>
      </c>
      <c r="G22">
        <f t="shared" ca="1" si="4"/>
        <v>8.75</v>
      </c>
      <c r="H22">
        <f t="shared" ca="1" si="5"/>
        <v>111562.5</v>
      </c>
      <c r="I22">
        <f t="shared" ca="1" si="6"/>
        <v>11267812.5</v>
      </c>
      <c r="J22">
        <f t="shared" ca="1" si="7"/>
        <v>218750</v>
      </c>
      <c r="K22">
        <f t="shared" ca="1" si="8"/>
        <v>107187.5</v>
      </c>
    </row>
    <row r="23" spans="1:11" x14ac:dyDescent="0.45">
      <c r="A23" s="1">
        <f t="shared" ca="1" si="0"/>
        <v>44014</v>
      </c>
      <c r="C23">
        <f t="shared" ca="1" si="1"/>
        <v>20</v>
      </c>
      <c r="D23" t="str">
        <f t="shared" ca="1" si="2"/>
        <v>sell</v>
      </c>
      <c r="E23">
        <f ca="1">LOOKUP(YEAR(A23),dummy_gold_price!$A$2:$A$6,dummy_gold_price!$B$2:$B$6)</f>
        <v>900000</v>
      </c>
      <c r="F23">
        <f t="shared" ca="1" si="3"/>
        <v>882000</v>
      </c>
      <c r="G23">
        <f t="shared" ca="1" si="4"/>
        <v>5.18</v>
      </c>
      <c r="H23">
        <f t="shared" ca="1" si="5"/>
        <v>45687.6</v>
      </c>
      <c r="I23">
        <f t="shared" ca="1" si="6"/>
        <v>4614447.5999999996</v>
      </c>
      <c r="J23">
        <f t="shared" ca="1" si="7"/>
        <v>93240</v>
      </c>
      <c r="K23">
        <f t="shared" ca="1" si="8"/>
        <v>47552.4</v>
      </c>
    </row>
    <row r="24" spans="1:11" x14ac:dyDescent="0.45">
      <c r="A24" s="1">
        <f t="shared" ca="1" si="0"/>
        <v>44064</v>
      </c>
      <c r="C24">
        <f t="shared" ca="1" si="1"/>
        <v>31</v>
      </c>
      <c r="D24" t="str">
        <f t="shared" ca="1" si="2"/>
        <v>buy</v>
      </c>
      <c r="E24">
        <f ca="1">LOOKUP(YEAR(A24),dummy_gold_price!$A$2:$A$6,dummy_gold_price!$B$2:$B$6)</f>
        <v>900000</v>
      </c>
      <c r="F24">
        <f t="shared" ca="1" si="3"/>
        <v>918000</v>
      </c>
      <c r="G24">
        <f t="shared" ca="1" si="4"/>
        <v>5.37</v>
      </c>
      <c r="H24">
        <f t="shared" ca="1" si="5"/>
        <v>49296.6</v>
      </c>
      <c r="I24">
        <f t="shared" ca="1" si="6"/>
        <v>4978956.5999999996</v>
      </c>
      <c r="J24">
        <f t="shared" ca="1" si="7"/>
        <v>96660</v>
      </c>
      <c r="K24">
        <f t="shared" ca="1" si="8"/>
        <v>47363.4</v>
      </c>
    </row>
    <row r="25" spans="1:11" x14ac:dyDescent="0.45">
      <c r="A25" s="1">
        <f t="shared" ca="1" si="0"/>
        <v>44722</v>
      </c>
      <c r="C25">
        <f t="shared" ca="1" si="1"/>
        <v>3</v>
      </c>
      <c r="D25" t="str">
        <f t="shared" ca="1" si="2"/>
        <v>sell</v>
      </c>
      <c r="E25">
        <f ca="1">LOOKUP(YEAR(A25),dummy_gold_price!$A$2:$A$6,dummy_gold_price!$B$2:$B$6)</f>
        <v>1050000</v>
      </c>
      <c r="F25">
        <f t="shared" ca="1" si="3"/>
        <v>1029000</v>
      </c>
      <c r="G25">
        <f t="shared" ca="1" si="4"/>
        <v>5.1100000000000003</v>
      </c>
      <c r="H25">
        <f t="shared" ca="1" si="5"/>
        <v>52581.9</v>
      </c>
      <c r="I25">
        <f t="shared" ca="1" si="6"/>
        <v>5310771.9000000004</v>
      </c>
      <c r="J25">
        <f t="shared" ca="1" si="7"/>
        <v>107310</v>
      </c>
      <c r="K25">
        <f t="shared" ca="1" si="8"/>
        <v>54728.1</v>
      </c>
    </row>
    <row r="26" spans="1:11" x14ac:dyDescent="0.45">
      <c r="A26" s="1">
        <f t="shared" ca="1" si="0"/>
        <v>45653</v>
      </c>
      <c r="C26">
        <f t="shared" ca="1" si="1"/>
        <v>50</v>
      </c>
      <c r="D26" t="str">
        <f t="shared" ca="1" si="2"/>
        <v>sell</v>
      </c>
      <c r="E26">
        <f ca="1">LOOKUP(YEAR(A26),dummy_gold_price!$A$2:$A$6,dummy_gold_price!$B$2:$B$6)</f>
        <v>1250000</v>
      </c>
      <c r="F26">
        <f t="shared" ca="1" si="3"/>
        <v>1225000</v>
      </c>
      <c r="G26">
        <f t="shared" ca="1" si="4"/>
        <v>5.68</v>
      </c>
      <c r="H26">
        <f t="shared" ca="1" si="5"/>
        <v>69580</v>
      </c>
      <c r="I26">
        <f t="shared" ca="1" si="6"/>
        <v>7027580</v>
      </c>
      <c r="J26">
        <f t="shared" ca="1" si="7"/>
        <v>142000</v>
      </c>
      <c r="K26">
        <f t="shared" ca="1" si="8"/>
        <v>72420</v>
      </c>
    </row>
    <row r="27" spans="1:11" x14ac:dyDescent="0.45">
      <c r="A27" s="1">
        <f t="shared" ca="1" si="0"/>
        <v>44358</v>
      </c>
      <c r="C27">
        <f t="shared" ca="1" si="1"/>
        <v>41</v>
      </c>
      <c r="D27" t="str">
        <f t="shared" ca="1" si="2"/>
        <v>sell</v>
      </c>
      <c r="E27">
        <f ca="1">LOOKUP(YEAR(A27),dummy_gold_price!$A$2:$A$6,dummy_gold_price!$B$2:$B$6)</f>
        <v>950000</v>
      </c>
      <c r="F27">
        <f t="shared" ca="1" si="3"/>
        <v>931000</v>
      </c>
      <c r="G27">
        <f t="shared" ca="1" si="4"/>
        <v>9.25</v>
      </c>
      <c r="H27">
        <f t="shared" ca="1" si="5"/>
        <v>86117.5</v>
      </c>
      <c r="I27">
        <f t="shared" ca="1" si="6"/>
        <v>8697867.5</v>
      </c>
      <c r="J27">
        <f t="shared" ca="1" si="7"/>
        <v>175750</v>
      </c>
      <c r="K27">
        <f t="shared" ca="1" si="8"/>
        <v>89632.5</v>
      </c>
    </row>
    <row r="28" spans="1:11" x14ac:dyDescent="0.45">
      <c r="A28" s="1">
        <f t="shared" ca="1" si="0"/>
        <v>45569</v>
      </c>
      <c r="C28">
        <f t="shared" ca="1" si="1"/>
        <v>23</v>
      </c>
      <c r="D28" t="str">
        <f t="shared" ca="1" si="2"/>
        <v>sell</v>
      </c>
      <c r="E28">
        <f ca="1">LOOKUP(YEAR(A28),dummy_gold_price!$A$2:$A$6,dummy_gold_price!$B$2:$B$6)</f>
        <v>1250000</v>
      </c>
      <c r="F28">
        <f t="shared" ca="1" si="3"/>
        <v>1225000</v>
      </c>
      <c r="G28">
        <f t="shared" ca="1" si="4"/>
        <v>5.24</v>
      </c>
      <c r="H28">
        <f t="shared" ca="1" si="5"/>
        <v>64190</v>
      </c>
      <c r="I28">
        <f t="shared" ca="1" si="6"/>
        <v>6483190</v>
      </c>
      <c r="J28">
        <f t="shared" ca="1" si="7"/>
        <v>131000</v>
      </c>
      <c r="K28">
        <f t="shared" ca="1" si="8"/>
        <v>66810</v>
      </c>
    </row>
    <row r="29" spans="1:11" x14ac:dyDescent="0.45">
      <c r="A29" s="1">
        <f t="shared" ca="1" si="0"/>
        <v>44635</v>
      </c>
      <c r="C29">
        <f t="shared" ca="1" si="1"/>
        <v>12</v>
      </c>
      <c r="D29" t="str">
        <f t="shared" ca="1" si="2"/>
        <v>buy</v>
      </c>
      <c r="E29">
        <f ca="1">LOOKUP(YEAR(A29),dummy_gold_price!$A$2:$A$6,dummy_gold_price!$B$2:$B$6)</f>
        <v>1050000</v>
      </c>
      <c r="F29">
        <f t="shared" ca="1" si="3"/>
        <v>1071000</v>
      </c>
      <c r="G29">
        <f t="shared" ca="1" si="4"/>
        <v>2.5499999999999998</v>
      </c>
      <c r="H29">
        <f t="shared" ca="1" si="5"/>
        <v>27310.5</v>
      </c>
      <c r="I29">
        <f t="shared" ca="1" si="6"/>
        <v>2758360.5</v>
      </c>
      <c r="J29">
        <f t="shared" ca="1" si="7"/>
        <v>53549.999999999993</v>
      </c>
      <c r="K29">
        <f t="shared" ca="1" si="8"/>
        <v>26239.499999999993</v>
      </c>
    </row>
    <row r="30" spans="1:11" x14ac:dyDescent="0.45">
      <c r="A30" s="1">
        <f t="shared" ca="1" si="0"/>
        <v>44408</v>
      </c>
      <c r="C30">
        <f t="shared" ca="1" si="1"/>
        <v>32</v>
      </c>
      <c r="D30" t="str">
        <f t="shared" ca="1" si="2"/>
        <v>sell</v>
      </c>
      <c r="E30">
        <f ca="1">LOOKUP(YEAR(A30),dummy_gold_price!$A$2:$A$6,dummy_gold_price!$B$2:$B$6)</f>
        <v>950000</v>
      </c>
      <c r="F30">
        <f t="shared" ca="1" si="3"/>
        <v>931000</v>
      </c>
      <c r="G30">
        <f t="shared" ca="1" si="4"/>
        <v>9.7200000000000006</v>
      </c>
      <c r="H30">
        <f t="shared" ca="1" si="5"/>
        <v>90493.2</v>
      </c>
      <c r="I30">
        <f t="shared" ca="1" si="6"/>
        <v>9139813.1999999993</v>
      </c>
      <c r="J30">
        <f t="shared" ca="1" si="7"/>
        <v>184680</v>
      </c>
      <c r="K30">
        <f t="shared" ca="1" si="8"/>
        <v>94186.8</v>
      </c>
    </row>
    <row r="31" spans="1:11" x14ac:dyDescent="0.45">
      <c r="A31" s="1">
        <f t="shared" ca="1" si="0"/>
        <v>44766</v>
      </c>
      <c r="C31">
        <f t="shared" ca="1" si="1"/>
        <v>11</v>
      </c>
      <c r="D31" t="str">
        <f t="shared" ca="1" si="2"/>
        <v>buy</v>
      </c>
      <c r="E31">
        <f ca="1">LOOKUP(YEAR(A31),dummy_gold_price!$A$2:$A$6,dummy_gold_price!$B$2:$B$6)</f>
        <v>1050000</v>
      </c>
      <c r="F31">
        <f t="shared" ca="1" si="3"/>
        <v>1071000</v>
      </c>
      <c r="G31">
        <f t="shared" ca="1" si="4"/>
        <v>6.69</v>
      </c>
      <c r="H31">
        <f t="shared" ca="1" si="5"/>
        <v>71649.900000000009</v>
      </c>
      <c r="I31">
        <f t="shared" ca="1" si="6"/>
        <v>7236639.9000000004</v>
      </c>
      <c r="J31">
        <f t="shared" ca="1" si="7"/>
        <v>140490</v>
      </c>
      <c r="K31">
        <f t="shared" ca="1" si="8"/>
        <v>68840.099999999991</v>
      </c>
    </row>
    <row r="32" spans="1:11" x14ac:dyDescent="0.45">
      <c r="A32" s="1">
        <f t="shared" ca="1" si="0"/>
        <v>45141</v>
      </c>
      <c r="C32">
        <f t="shared" ca="1" si="1"/>
        <v>48</v>
      </c>
      <c r="D32" t="str">
        <f t="shared" ca="1" si="2"/>
        <v>buy</v>
      </c>
      <c r="E32">
        <f ca="1">LOOKUP(YEAR(A32),dummy_gold_price!$A$2:$A$6,dummy_gold_price!$B$2:$B$6)</f>
        <v>1150000</v>
      </c>
      <c r="F32">
        <f t="shared" ca="1" si="3"/>
        <v>1173000</v>
      </c>
      <c r="G32">
        <f t="shared" ca="1" si="4"/>
        <v>7.34</v>
      </c>
      <c r="H32">
        <f t="shared" ca="1" si="5"/>
        <v>86098.2</v>
      </c>
      <c r="I32">
        <f t="shared" ca="1" si="6"/>
        <v>8695918.1999999993</v>
      </c>
      <c r="J32">
        <f t="shared" ca="1" si="7"/>
        <v>168820</v>
      </c>
      <c r="K32">
        <f t="shared" ca="1" si="8"/>
        <v>82721.8</v>
      </c>
    </row>
    <row r="33" spans="1:11" x14ac:dyDescent="0.45">
      <c r="A33" s="1">
        <f t="shared" ca="1" si="0"/>
        <v>44066</v>
      </c>
      <c r="C33">
        <f t="shared" ca="1" si="1"/>
        <v>44</v>
      </c>
      <c r="D33" t="str">
        <f t="shared" ca="1" si="2"/>
        <v>sell</v>
      </c>
      <c r="E33">
        <f ca="1">LOOKUP(YEAR(A33),dummy_gold_price!$A$2:$A$6,dummy_gold_price!$B$2:$B$6)</f>
        <v>900000</v>
      </c>
      <c r="F33">
        <f t="shared" ca="1" si="3"/>
        <v>882000</v>
      </c>
      <c r="G33">
        <f t="shared" ca="1" si="4"/>
        <v>6.78</v>
      </c>
      <c r="H33">
        <f t="shared" ca="1" si="5"/>
        <v>59799.6</v>
      </c>
      <c r="I33">
        <f t="shared" ca="1" si="6"/>
        <v>6039759.5999999996</v>
      </c>
      <c r="J33">
        <f t="shared" ca="1" si="7"/>
        <v>122040</v>
      </c>
      <c r="K33">
        <f t="shared" ca="1" si="8"/>
        <v>62240.4</v>
      </c>
    </row>
    <row r="34" spans="1:11" x14ac:dyDescent="0.45">
      <c r="A34" s="1">
        <f t="shared" ca="1" si="0"/>
        <v>45190</v>
      </c>
      <c r="C34">
        <f t="shared" ca="1" si="1"/>
        <v>32</v>
      </c>
      <c r="D34" t="str">
        <f t="shared" ca="1" si="2"/>
        <v>sell</v>
      </c>
      <c r="E34">
        <f ca="1">LOOKUP(YEAR(A34),dummy_gold_price!$A$2:$A$6,dummy_gold_price!$B$2:$B$6)</f>
        <v>1150000</v>
      </c>
      <c r="F34">
        <f t="shared" ca="1" si="3"/>
        <v>1127000</v>
      </c>
      <c r="G34">
        <f t="shared" ca="1" si="4"/>
        <v>3.23</v>
      </c>
      <c r="H34">
        <f t="shared" ca="1" si="5"/>
        <v>36402.1</v>
      </c>
      <c r="I34">
        <f t="shared" ca="1" si="6"/>
        <v>3676612.1</v>
      </c>
      <c r="J34">
        <f t="shared" ca="1" si="7"/>
        <v>74290</v>
      </c>
      <c r="K34">
        <f t="shared" ca="1" si="8"/>
        <v>37887.9</v>
      </c>
    </row>
    <row r="35" spans="1:11" x14ac:dyDescent="0.45">
      <c r="A35" s="1">
        <f t="shared" ca="1" si="0"/>
        <v>44291</v>
      </c>
      <c r="C35">
        <f t="shared" ca="1" si="1"/>
        <v>1</v>
      </c>
      <c r="D35" t="str">
        <f t="shared" ca="1" si="2"/>
        <v>sell</v>
      </c>
      <c r="E35">
        <f ca="1">LOOKUP(YEAR(A35),dummy_gold_price!$A$2:$A$6,dummy_gold_price!$B$2:$B$6)</f>
        <v>950000</v>
      </c>
      <c r="F35">
        <f t="shared" ca="1" si="3"/>
        <v>931000</v>
      </c>
      <c r="G35">
        <f t="shared" ca="1" si="4"/>
        <v>3.68</v>
      </c>
      <c r="H35">
        <f t="shared" ca="1" si="5"/>
        <v>34260.800000000003</v>
      </c>
      <c r="I35">
        <f t="shared" ca="1" si="6"/>
        <v>3460340.8</v>
      </c>
      <c r="J35">
        <f t="shared" ca="1" si="7"/>
        <v>69920</v>
      </c>
      <c r="K35">
        <f t="shared" ca="1" si="8"/>
        <v>35659.199999999997</v>
      </c>
    </row>
    <row r="36" spans="1:11" x14ac:dyDescent="0.45">
      <c r="A36" s="1">
        <f t="shared" ca="1" si="0"/>
        <v>45136</v>
      </c>
      <c r="C36">
        <f t="shared" ca="1" si="1"/>
        <v>31</v>
      </c>
      <c r="D36" t="str">
        <f t="shared" ca="1" si="2"/>
        <v>buy</v>
      </c>
      <c r="E36">
        <f ca="1">LOOKUP(YEAR(A36),dummy_gold_price!$A$2:$A$6,dummy_gold_price!$B$2:$B$6)</f>
        <v>1150000</v>
      </c>
      <c r="F36">
        <f t="shared" ca="1" si="3"/>
        <v>1173000</v>
      </c>
      <c r="G36">
        <f t="shared" ca="1" si="4"/>
        <v>1.77</v>
      </c>
      <c r="H36">
        <f t="shared" ca="1" si="5"/>
        <v>20762.100000000002</v>
      </c>
      <c r="I36">
        <f t="shared" ca="1" si="6"/>
        <v>2096972.1</v>
      </c>
      <c r="J36">
        <f t="shared" ca="1" si="7"/>
        <v>40710</v>
      </c>
      <c r="K36">
        <f t="shared" ca="1" si="8"/>
        <v>19947.899999999998</v>
      </c>
    </row>
    <row r="37" spans="1:11" x14ac:dyDescent="0.45">
      <c r="A37" s="1">
        <f t="shared" ca="1" si="0"/>
        <v>44249</v>
      </c>
      <c r="C37">
        <f t="shared" ca="1" si="1"/>
        <v>27</v>
      </c>
      <c r="D37" t="str">
        <f t="shared" ca="1" si="2"/>
        <v>buy</v>
      </c>
      <c r="E37">
        <f ca="1">LOOKUP(YEAR(A37),dummy_gold_price!$A$2:$A$6,dummy_gold_price!$B$2:$B$6)</f>
        <v>950000</v>
      </c>
      <c r="F37">
        <f t="shared" ca="1" si="3"/>
        <v>969000</v>
      </c>
      <c r="G37">
        <f t="shared" ca="1" si="4"/>
        <v>8.9</v>
      </c>
      <c r="H37">
        <f t="shared" ca="1" si="5"/>
        <v>86241</v>
      </c>
      <c r="I37">
        <f t="shared" ca="1" si="6"/>
        <v>8710341</v>
      </c>
      <c r="J37">
        <f t="shared" ca="1" si="7"/>
        <v>169100</v>
      </c>
      <c r="K37">
        <f t="shared" ca="1" si="8"/>
        <v>82859</v>
      </c>
    </row>
    <row r="38" spans="1:11" x14ac:dyDescent="0.45">
      <c r="A38" s="1">
        <f t="shared" ca="1" si="0"/>
        <v>44313</v>
      </c>
      <c r="C38">
        <f t="shared" ca="1" si="1"/>
        <v>9</v>
      </c>
      <c r="D38" t="str">
        <f t="shared" ca="1" si="2"/>
        <v>buy</v>
      </c>
      <c r="E38">
        <f ca="1">LOOKUP(YEAR(A38),dummy_gold_price!$A$2:$A$6,dummy_gold_price!$B$2:$B$6)</f>
        <v>950000</v>
      </c>
      <c r="F38">
        <f t="shared" ca="1" si="3"/>
        <v>969000</v>
      </c>
      <c r="G38">
        <f t="shared" ca="1" si="4"/>
        <v>8.09</v>
      </c>
      <c r="H38">
        <f t="shared" ca="1" si="5"/>
        <v>78392.100000000006</v>
      </c>
      <c r="I38">
        <f t="shared" ca="1" si="6"/>
        <v>7917602.0999999996</v>
      </c>
      <c r="J38">
        <f t="shared" ca="1" si="7"/>
        <v>153710</v>
      </c>
      <c r="K38">
        <f t="shared" ca="1" si="8"/>
        <v>75317.899999999994</v>
      </c>
    </row>
    <row r="39" spans="1:11" x14ac:dyDescent="0.45">
      <c r="A39" s="1">
        <f t="shared" ca="1" si="0"/>
        <v>44875</v>
      </c>
      <c r="C39">
        <f t="shared" ca="1" si="1"/>
        <v>34</v>
      </c>
      <c r="D39" t="str">
        <f t="shared" ca="1" si="2"/>
        <v>sell</v>
      </c>
      <c r="E39">
        <f ca="1">LOOKUP(YEAR(A39),dummy_gold_price!$A$2:$A$6,dummy_gold_price!$B$2:$B$6)</f>
        <v>1050000</v>
      </c>
      <c r="F39">
        <f t="shared" ca="1" si="3"/>
        <v>1029000</v>
      </c>
      <c r="G39">
        <f t="shared" ca="1" si="4"/>
        <v>6.14</v>
      </c>
      <c r="H39">
        <f t="shared" ca="1" si="5"/>
        <v>63180.6</v>
      </c>
      <c r="I39">
        <f t="shared" ca="1" si="6"/>
        <v>6381240.5999999996</v>
      </c>
      <c r="J39">
        <f t="shared" ca="1" si="7"/>
        <v>128940</v>
      </c>
      <c r="K39">
        <f t="shared" ca="1" si="8"/>
        <v>65759.399999999994</v>
      </c>
    </row>
    <row r="40" spans="1:11" x14ac:dyDescent="0.45">
      <c r="A40" s="1">
        <f t="shared" ca="1" si="0"/>
        <v>44676</v>
      </c>
      <c r="C40">
        <f t="shared" ca="1" si="1"/>
        <v>27</v>
      </c>
      <c r="D40" t="str">
        <f t="shared" ca="1" si="2"/>
        <v>sell</v>
      </c>
      <c r="E40">
        <f ca="1">LOOKUP(YEAR(A40),dummy_gold_price!$A$2:$A$6,dummy_gold_price!$B$2:$B$6)</f>
        <v>1050000</v>
      </c>
      <c r="F40">
        <f t="shared" ca="1" si="3"/>
        <v>1029000</v>
      </c>
      <c r="G40">
        <f t="shared" ca="1" si="4"/>
        <v>7.72</v>
      </c>
      <c r="H40">
        <f t="shared" ca="1" si="5"/>
        <v>79438.8</v>
      </c>
      <c r="I40">
        <f t="shared" ca="1" si="6"/>
        <v>8023318.7999999998</v>
      </c>
      <c r="J40">
        <f t="shared" ca="1" si="7"/>
        <v>162120</v>
      </c>
      <c r="K40">
        <f t="shared" ca="1" si="8"/>
        <v>82681.2</v>
      </c>
    </row>
    <row r="41" spans="1:11" x14ac:dyDescent="0.45">
      <c r="A41" s="1">
        <f t="shared" ca="1" si="0"/>
        <v>45399</v>
      </c>
      <c r="C41">
        <f t="shared" ca="1" si="1"/>
        <v>24</v>
      </c>
      <c r="D41" t="str">
        <f t="shared" ca="1" si="2"/>
        <v>buy</v>
      </c>
      <c r="E41">
        <f ca="1">LOOKUP(YEAR(A41),dummy_gold_price!$A$2:$A$6,dummy_gold_price!$B$2:$B$6)</f>
        <v>1250000</v>
      </c>
      <c r="F41">
        <f t="shared" ca="1" si="3"/>
        <v>1275000</v>
      </c>
      <c r="G41">
        <f t="shared" ca="1" si="4"/>
        <v>8.9700000000000006</v>
      </c>
      <c r="H41">
        <f t="shared" ca="1" si="5"/>
        <v>114367.5</v>
      </c>
      <c r="I41">
        <f t="shared" ca="1" si="6"/>
        <v>11551117.5</v>
      </c>
      <c r="J41">
        <f t="shared" ca="1" si="7"/>
        <v>224250.00000000003</v>
      </c>
      <c r="K41">
        <f t="shared" ca="1" si="8"/>
        <v>109882.50000000003</v>
      </c>
    </row>
    <row r="42" spans="1:11" x14ac:dyDescent="0.45">
      <c r="A42" s="1">
        <f t="shared" ca="1" si="0"/>
        <v>44226</v>
      </c>
      <c r="C42">
        <f t="shared" ca="1" si="1"/>
        <v>18</v>
      </c>
      <c r="D42" t="str">
        <f t="shared" ca="1" si="2"/>
        <v>sell</v>
      </c>
      <c r="E42">
        <f ca="1">LOOKUP(YEAR(A42),dummy_gold_price!$A$2:$A$6,dummy_gold_price!$B$2:$B$6)</f>
        <v>950000</v>
      </c>
      <c r="F42">
        <f t="shared" ca="1" si="3"/>
        <v>931000</v>
      </c>
      <c r="G42">
        <f t="shared" ca="1" si="4"/>
        <v>6.13</v>
      </c>
      <c r="H42">
        <f t="shared" ca="1" si="5"/>
        <v>57070.3</v>
      </c>
      <c r="I42">
        <f t="shared" ca="1" si="6"/>
        <v>5764100.2999999998</v>
      </c>
      <c r="J42">
        <f t="shared" ca="1" si="7"/>
        <v>116470</v>
      </c>
      <c r="K42">
        <f t="shared" ca="1" si="8"/>
        <v>59399.7</v>
      </c>
    </row>
    <row r="43" spans="1:11" x14ac:dyDescent="0.45">
      <c r="A43" s="1">
        <f t="shared" ca="1" si="0"/>
        <v>44867</v>
      </c>
      <c r="C43">
        <f t="shared" ca="1" si="1"/>
        <v>32</v>
      </c>
      <c r="D43" t="str">
        <f t="shared" ca="1" si="2"/>
        <v>sell</v>
      </c>
      <c r="E43">
        <f ca="1">LOOKUP(YEAR(A43),dummy_gold_price!$A$2:$A$6,dummy_gold_price!$B$2:$B$6)</f>
        <v>1050000</v>
      </c>
      <c r="F43">
        <f t="shared" ca="1" si="3"/>
        <v>1029000</v>
      </c>
      <c r="G43">
        <f t="shared" ca="1" si="4"/>
        <v>6.56</v>
      </c>
      <c r="H43">
        <f t="shared" ca="1" si="5"/>
        <v>67502.399999999994</v>
      </c>
      <c r="I43">
        <f t="shared" ca="1" si="6"/>
        <v>6817742.4000000004</v>
      </c>
      <c r="J43">
        <f t="shared" ca="1" si="7"/>
        <v>137760</v>
      </c>
      <c r="K43">
        <f t="shared" ca="1" si="8"/>
        <v>70257.600000000006</v>
      </c>
    </row>
    <row r="44" spans="1:11" x14ac:dyDescent="0.45">
      <c r="A44" s="1">
        <f t="shared" ca="1" si="0"/>
        <v>45462</v>
      </c>
      <c r="C44">
        <f t="shared" ca="1" si="1"/>
        <v>36</v>
      </c>
      <c r="D44" t="str">
        <f t="shared" ca="1" si="2"/>
        <v>buy</v>
      </c>
      <c r="E44">
        <f ca="1">LOOKUP(YEAR(A44),dummy_gold_price!$A$2:$A$6,dummy_gold_price!$B$2:$B$6)</f>
        <v>1250000</v>
      </c>
      <c r="F44">
        <f t="shared" ca="1" si="3"/>
        <v>1275000</v>
      </c>
      <c r="G44">
        <f t="shared" ca="1" si="4"/>
        <v>8.6300000000000008</v>
      </c>
      <c r="H44">
        <f t="shared" ca="1" si="5"/>
        <v>110032.50000000001</v>
      </c>
      <c r="I44">
        <f t="shared" ca="1" si="6"/>
        <v>11113282.500000002</v>
      </c>
      <c r="J44">
        <f t="shared" ca="1" si="7"/>
        <v>215750.00000000003</v>
      </c>
      <c r="K44">
        <f t="shared" ca="1" si="8"/>
        <v>105717.50000000001</v>
      </c>
    </row>
    <row r="45" spans="1:11" x14ac:dyDescent="0.45">
      <c r="A45" s="1">
        <f t="shared" ca="1" si="0"/>
        <v>44517</v>
      </c>
      <c r="C45">
        <f t="shared" ca="1" si="1"/>
        <v>22</v>
      </c>
      <c r="D45" t="str">
        <f t="shared" ca="1" si="2"/>
        <v>buy</v>
      </c>
      <c r="E45">
        <f ca="1">LOOKUP(YEAR(A45),dummy_gold_price!$A$2:$A$6,dummy_gold_price!$B$2:$B$6)</f>
        <v>950000</v>
      </c>
      <c r="F45">
        <f t="shared" ca="1" si="3"/>
        <v>969000</v>
      </c>
      <c r="G45">
        <f t="shared" ca="1" si="4"/>
        <v>5.7</v>
      </c>
      <c r="H45">
        <f t="shared" ca="1" si="5"/>
        <v>55233</v>
      </c>
      <c r="I45">
        <f t="shared" ca="1" si="6"/>
        <v>5578533</v>
      </c>
      <c r="J45">
        <f t="shared" ca="1" si="7"/>
        <v>108300</v>
      </c>
      <c r="K45">
        <f t="shared" ca="1" si="8"/>
        <v>53067</v>
      </c>
    </row>
    <row r="46" spans="1:11" x14ac:dyDescent="0.45">
      <c r="A46" s="1">
        <f t="shared" ca="1" si="0"/>
        <v>44880</v>
      </c>
      <c r="C46">
        <f t="shared" ca="1" si="1"/>
        <v>4</v>
      </c>
      <c r="D46" t="str">
        <f t="shared" ca="1" si="2"/>
        <v>buy</v>
      </c>
      <c r="E46">
        <f ca="1">LOOKUP(YEAR(A46),dummy_gold_price!$A$2:$A$6,dummy_gold_price!$B$2:$B$6)</f>
        <v>1050000</v>
      </c>
      <c r="F46">
        <f t="shared" ca="1" si="3"/>
        <v>1071000</v>
      </c>
      <c r="G46">
        <f t="shared" ca="1" si="4"/>
        <v>7.67</v>
      </c>
      <c r="H46">
        <f t="shared" ca="1" si="5"/>
        <v>82145.7</v>
      </c>
      <c r="I46">
        <f t="shared" ca="1" si="6"/>
        <v>8296715.7000000002</v>
      </c>
      <c r="J46">
        <f t="shared" ca="1" si="7"/>
        <v>161070</v>
      </c>
      <c r="K46">
        <f t="shared" ca="1" si="8"/>
        <v>78924.3</v>
      </c>
    </row>
    <row r="47" spans="1:11" x14ac:dyDescent="0.45">
      <c r="A47" s="1">
        <f t="shared" ca="1" si="0"/>
        <v>44447</v>
      </c>
      <c r="C47">
        <f t="shared" ca="1" si="1"/>
        <v>27</v>
      </c>
      <c r="D47" t="str">
        <f t="shared" ca="1" si="2"/>
        <v>sell</v>
      </c>
      <c r="E47">
        <f ca="1">LOOKUP(YEAR(A47),dummy_gold_price!$A$2:$A$6,dummy_gold_price!$B$2:$B$6)</f>
        <v>950000</v>
      </c>
      <c r="F47">
        <f t="shared" ca="1" si="3"/>
        <v>931000</v>
      </c>
      <c r="G47">
        <f t="shared" ca="1" si="4"/>
        <v>3.42</v>
      </c>
      <c r="H47">
        <f t="shared" ca="1" si="5"/>
        <v>31840.2</v>
      </c>
      <c r="I47">
        <f t="shared" ca="1" si="6"/>
        <v>3215860.2</v>
      </c>
      <c r="J47">
        <f t="shared" ca="1" si="7"/>
        <v>64980</v>
      </c>
      <c r="K47">
        <f t="shared" ca="1" si="8"/>
        <v>33139.800000000003</v>
      </c>
    </row>
    <row r="48" spans="1:11" x14ac:dyDescent="0.45">
      <c r="A48" s="1">
        <f t="shared" ca="1" si="0"/>
        <v>44388</v>
      </c>
      <c r="C48">
        <f t="shared" ca="1" si="1"/>
        <v>38</v>
      </c>
      <c r="D48" t="str">
        <f t="shared" ca="1" si="2"/>
        <v>sell</v>
      </c>
      <c r="E48">
        <f ca="1">LOOKUP(YEAR(A48),dummy_gold_price!$A$2:$A$6,dummy_gold_price!$B$2:$B$6)</f>
        <v>950000</v>
      </c>
      <c r="F48">
        <f t="shared" ca="1" si="3"/>
        <v>931000</v>
      </c>
      <c r="G48">
        <f t="shared" ca="1" si="4"/>
        <v>2.54</v>
      </c>
      <c r="H48">
        <f t="shared" ca="1" si="5"/>
        <v>23647.4</v>
      </c>
      <c r="I48">
        <f t="shared" ca="1" si="6"/>
        <v>2388387.4</v>
      </c>
      <c r="J48">
        <f t="shared" ca="1" si="7"/>
        <v>48260</v>
      </c>
      <c r="K48">
        <f t="shared" ca="1" si="8"/>
        <v>24612.6</v>
      </c>
    </row>
    <row r="49" spans="1:11" x14ac:dyDescent="0.45">
      <c r="A49" s="1">
        <f t="shared" ca="1" si="0"/>
        <v>45254</v>
      </c>
      <c r="C49">
        <f t="shared" ca="1" si="1"/>
        <v>18</v>
      </c>
      <c r="D49" t="str">
        <f t="shared" ca="1" si="2"/>
        <v>buy</v>
      </c>
      <c r="E49">
        <f ca="1">LOOKUP(YEAR(A49),dummy_gold_price!$A$2:$A$6,dummy_gold_price!$B$2:$B$6)</f>
        <v>1150000</v>
      </c>
      <c r="F49">
        <f t="shared" ca="1" si="3"/>
        <v>1173000</v>
      </c>
      <c r="G49">
        <f t="shared" ca="1" si="4"/>
        <v>5.71</v>
      </c>
      <c r="H49">
        <f t="shared" ca="1" si="5"/>
        <v>66978.3</v>
      </c>
      <c r="I49">
        <f t="shared" ca="1" si="6"/>
        <v>6764808.2999999998</v>
      </c>
      <c r="J49">
        <f t="shared" ca="1" si="7"/>
        <v>131330</v>
      </c>
      <c r="K49">
        <f t="shared" ca="1" si="8"/>
        <v>64351.7</v>
      </c>
    </row>
    <row r="50" spans="1:11" x14ac:dyDescent="0.45">
      <c r="A50" s="1">
        <f t="shared" ca="1" si="0"/>
        <v>44176</v>
      </c>
      <c r="C50">
        <f t="shared" ca="1" si="1"/>
        <v>31</v>
      </c>
      <c r="D50" t="str">
        <f t="shared" ca="1" si="2"/>
        <v>sell</v>
      </c>
      <c r="E50">
        <f ca="1">LOOKUP(YEAR(A50),dummy_gold_price!$A$2:$A$6,dummy_gold_price!$B$2:$B$6)</f>
        <v>900000</v>
      </c>
      <c r="F50">
        <f t="shared" ca="1" si="3"/>
        <v>882000</v>
      </c>
      <c r="G50">
        <f t="shared" ca="1" si="4"/>
        <v>4.6500000000000004</v>
      </c>
      <c r="H50">
        <f t="shared" ca="1" si="5"/>
        <v>41013.000000000007</v>
      </c>
      <c r="I50">
        <f t="shared" ca="1" si="6"/>
        <v>4142313.0000000005</v>
      </c>
      <c r="J50">
        <f t="shared" ca="1" si="7"/>
        <v>83700</v>
      </c>
      <c r="K50">
        <f t="shared" ca="1" si="8"/>
        <v>42686.999999999993</v>
      </c>
    </row>
    <row r="51" spans="1:11" x14ac:dyDescent="0.45">
      <c r="A51" s="1">
        <f t="shared" ca="1" si="0"/>
        <v>45386</v>
      </c>
      <c r="C51">
        <f t="shared" ca="1" si="1"/>
        <v>36</v>
      </c>
      <c r="D51" t="str">
        <f t="shared" ca="1" si="2"/>
        <v>buy</v>
      </c>
      <c r="E51">
        <f ca="1">LOOKUP(YEAR(A51),dummy_gold_price!$A$2:$A$6,dummy_gold_price!$B$2:$B$6)</f>
        <v>1250000</v>
      </c>
      <c r="F51">
        <f t="shared" ca="1" si="3"/>
        <v>1275000</v>
      </c>
      <c r="G51">
        <f t="shared" ca="1" si="4"/>
        <v>7.38</v>
      </c>
      <c r="H51">
        <f t="shared" ca="1" si="5"/>
        <v>94095</v>
      </c>
      <c r="I51">
        <f t="shared" ca="1" si="6"/>
        <v>9503595</v>
      </c>
      <c r="J51">
        <f t="shared" ca="1" si="7"/>
        <v>184500</v>
      </c>
      <c r="K51">
        <f t="shared" ca="1" si="8"/>
        <v>90405</v>
      </c>
    </row>
    <row r="52" spans="1:11" x14ac:dyDescent="0.45">
      <c r="A52" s="1">
        <f t="shared" ca="1" si="0"/>
        <v>44468</v>
      </c>
      <c r="C52">
        <f t="shared" ca="1" si="1"/>
        <v>8</v>
      </c>
      <c r="D52" t="str">
        <f t="shared" ca="1" si="2"/>
        <v>sell</v>
      </c>
      <c r="E52">
        <f ca="1">LOOKUP(YEAR(A52),dummy_gold_price!$A$2:$A$6,dummy_gold_price!$B$2:$B$6)</f>
        <v>950000</v>
      </c>
      <c r="F52">
        <f t="shared" ca="1" si="3"/>
        <v>931000</v>
      </c>
      <c r="G52">
        <f t="shared" ca="1" si="4"/>
        <v>9.65</v>
      </c>
      <c r="H52">
        <f t="shared" ca="1" si="5"/>
        <v>89841.5</v>
      </c>
      <c r="I52">
        <f t="shared" ca="1" si="6"/>
        <v>9073991.5</v>
      </c>
      <c r="J52">
        <f t="shared" ca="1" si="7"/>
        <v>183350</v>
      </c>
      <c r="K52">
        <f t="shared" ca="1" si="8"/>
        <v>93508.5</v>
      </c>
    </row>
    <row r="53" spans="1:11" x14ac:dyDescent="0.45">
      <c r="A53" s="1">
        <f t="shared" ca="1" si="0"/>
        <v>44270</v>
      </c>
      <c r="C53">
        <f t="shared" ca="1" si="1"/>
        <v>49</v>
      </c>
      <c r="D53" t="str">
        <f t="shared" ca="1" si="2"/>
        <v>buy</v>
      </c>
      <c r="E53">
        <f ca="1">LOOKUP(YEAR(A53),dummy_gold_price!$A$2:$A$6,dummy_gold_price!$B$2:$B$6)</f>
        <v>950000</v>
      </c>
      <c r="F53">
        <f t="shared" ca="1" si="3"/>
        <v>969000</v>
      </c>
      <c r="G53">
        <f t="shared" ca="1" si="4"/>
        <v>5.74</v>
      </c>
      <c r="H53">
        <f t="shared" ca="1" si="5"/>
        <v>55620.6</v>
      </c>
      <c r="I53">
        <f t="shared" ca="1" si="6"/>
        <v>5617680.5999999996</v>
      </c>
      <c r="J53">
        <f t="shared" ca="1" si="7"/>
        <v>109060</v>
      </c>
      <c r="K53">
        <f t="shared" ca="1" si="8"/>
        <v>53439.4</v>
      </c>
    </row>
    <row r="54" spans="1:11" x14ac:dyDescent="0.45">
      <c r="A54" s="1">
        <f t="shared" ca="1" si="0"/>
        <v>44814</v>
      </c>
      <c r="C54">
        <f t="shared" ca="1" si="1"/>
        <v>26</v>
      </c>
      <c r="D54" t="str">
        <f t="shared" ca="1" si="2"/>
        <v>buy</v>
      </c>
      <c r="E54">
        <f ca="1">LOOKUP(YEAR(A54),dummy_gold_price!$A$2:$A$6,dummy_gold_price!$B$2:$B$6)</f>
        <v>1050000</v>
      </c>
      <c r="F54">
        <f t="shared" ca="1" si="3"/>
        <v>1071000</v>
      </c>
      <c r="G54">
        <f t="shared" ca="1" si="4"/>
        <v>7.35</v>
      </c>
      <c r="H54">
        <f t="shared" ca="1" si="5"/>
        <v>78718.5</v>
      </c>
      <c r="I54">
        <f t="shared" ca="1" si="6"/>
        <v>7950568.5</v>
      </c>
      <c r="J54">
        <f t="shared" ca="1" si="7"/>
        <v>154350</v>
      </c>
      <c r="K54">
        <f t="shared" ca="1" si="8"/>
        <v>75631.5</v>
      </c>
    </row>
    <row r="55" spans="1:11" x14ac:dyDescent="0.45">
      <c r="A55" s="1">
        <f t="shared" ca="1" si="0"/>
        <v>45560</v>
      </c>
      <c r="C55">
        <f t="shared" ca="1" si="1"/>
        <v>6</v>
      </c>
      <c r="D55" t="str">
        <f t="shared" ca="1" si="2"/>
        <v>buy</v>
      </c>
      <c r="E55">
        <f ca="1">LOOKUP(YEAR(A55),dummy_gold_price!$A$2:$A$6,dummy_gold_price!$B$2:$B$6)</f>
        <v>1250000</v>
      </c>
      <c r="F55">
        <f t="shared" ca="1" si="3"/>
        <v>1275000</v>
      </c>
      <c r="G55">
        <f t="shared" ca="1" si="4"/>
        <v>4.57</v>
      </c>
      <c r="H55">
        <f t="shared" ca="1" si="5"/>
        <v>58267.5</v>
      </c>
      <c r="I55">
        <f t="shared" ca="1" si="6"/>
        <v>5885017.5</v>
      </c>
      <c r="J55">
        <f t="shared" ca="1" si="7"/>
        <v>114250</v>
      </c>
      <c r="K55">
        <f t="shared" ca="1" si="8"/>
        <v>55982.5</v>
      </c>
    </row>
    <row r="56" spans="1:11" x14ac:dyDescent="0.45">
      <c r="A56" s="1">
        <f t="shared" ca="1" si="0"/>
        <v>44038</v>
      </c>
      <c r="C56">
        <f t="shared" ca="1" si="1"/>
        <v>29</v>
      </c>
      <c r="D56" t="str">
        <f t="shared" ca="1" si="2"/>
        <v>sell</v>
      </c>
      <c r="E56">
        <f ca="1">LOOKUP(YEAR(A56),dummy_gold_price!$A$2:$A$6,dummy_gold_price!$B$2:$B$6)</f>
        <v>900000</v>
      </c>
      <c r="F56">
        <f t="shared" ca="1" si="3"/>
        <v>882000</v>
      </c>
      <c r="G56">
        <f t="shared" ca="1" si="4"/>
        <v>6.91</v>
      </c>
      <c r="H56">
        <f t="shared" ca="1" si="5"/>
        <v>60946.200000000004</v>
      </c>
      <c r="I56">
        <f t="shared" ca="1" si="6"/>
        <v>6155566.2000000002</v>
      </c>
      <c r="J56">
        <f t="shared" ca="1" si="7"/>
        <v>124380</v>
      </c>
      <c r="K56">
        <f t="shared" ca="1" si="8"/>
        <v>63433.799999999996</v>
      </c>
    </row>
    <row r="57" spans="1:11" x14ac:dyDescent="0.45">
      <c r="A57" s="1">
        <f t="shared" ca="1" si="0"/>
        <v>44951</v>
      </c>
      <c r="C57">
        <f t="shared" ca="1" si="1"/>
        <v>50</v>
      </c>
      <c r="D57" t="str">
        <f t="shared" ca="1" si="2"/>
        <v>buy</v>
      </c>
      <c r="E57">
        <f ca="1">LOOKUP(YEAR(A57),dummy_gold_price!$A$2:$A$6,dummy_gold_price!$B$2:$B$6)</f>
        <v>1150000</v>
      </c>
      <c r="F57">
        <f t="shared" ca="1" si="3"/>
        <v>1173000</v>
      </c>
      <c r="G57">
        <f t="shared" ca="1" si="4"/>
        <v>1.84</v>
      </c>
      <c r="H57">
        <f t="shared" ca="1" si="5"/>
        <v>21583.200000000001</v>
      </c>
      <c r="I57">
        <f t="shared" ca="1" si="6"/>
        <v>2179903.2000000002</v>
      </c>
      <c r="J57">
        <f t="shared" ca="1" si="7"/>
        <v>42320</v>
      </c>
      <c r="K57">
        <f t="shared" ca="1" si="8"/>
        <v>20736.8</v>
      </c>
    </row>
    <row r="58" spans="1:11" x14ac:dyDescent="0.45">
      <c r="A58" s="1">
        <f t="shared" ca="1" si="0"/>
        <v>44030</v>
      </c>
      <c r="C58">
        <f t="shared" ca="1" si="1"/>
        <v>26</v>
      </c>
      <c r="D58" t="str">
        <f t="shared" ca="1" si="2"/>
        <v>sell</v>
      </c>
      <c r="E58">
        <f ca="1">LOOKUP(YEAR(A58),dummy_gold_price!$A$2:$A$6,dummy_gold_price!$B$2:$B$6)</f>
        <v>900000</v>
      </c>
      <c r="F58">
        <f t="shared" ca="1" si="3"/>
        <v>882000</v>
      </c>
      <c r="G58">
        <f t="shared" ca="1" si="4"/>
        <v>8.83</v>
      </c>
      <c r="H58">
        <f t="shared" ca="1" si="5"/>
        <v>77880.600000000006</v>
      </c>
      <c r="I58">
        <f t="shared" ca="1" si="6"/>
        <v>7865940.5999999996</v>
      </c>
      <c r="J58">
        <f t="shared" ca="1" si="7"/>
        <v>158940</v>
      </c>
      <c r="K58">
        <f t="shared" ca="1" si="8"/>
        <v>81059.399999999994</v>
      </c>
    </row>
    <row r="59" spans="1:11" x14ac:dyDescent="0.45">
      <c r="A59" s="1">
        <f t="shared" ca="1" si="0"/>
        <v>44368</v>
      </c>
      <c r="C59">
        <f t="shared" ca="1" si="1"/>
        <v>46</v>
      </c>
      <c r="D59" t="str">
        <f t="shared" ca="1" si="2"/>
        <v>sell</v>
      </c>
      <c r="E59">
        <f ca="1">LOOKUP(YEAR(A59),dummy_gold_price!$A$2:$A$6,dummy_gold_price!$B$2:$B$6)</f>
        <v>950000</v>
      </c>
      <c r="F59">
        <f t="shared" ca="1" si="3"/>
        <v>931000</v>
      </c>
      <c r="G59">
        <f t="shared" ca="1" si="4"/>
        <v>3.57</v>
      </c>
      <c r="H59">
        <f t="shared" ca="1" si="5"/>
        <v>33236.699999999997</v>
      </c>
      <c r="I59">
        <f t="shared" ca="1" si="6"/>
        <v>3356906.7</v>
      </c>
      <c r="J59">
        <f t="shared" ca="1" si="7"/>
        <v>67830</v>
      </c>
      <c r="K59">
        <f t="shared" ca="1" si="8"/>
        <v>34593.300000000003</v>
      </c>
    </row>
    <row r="60" spans="1:11" x14ac:dyDescent="0.45">
      <c r="A60" s="1">
        <f t="shared" ca="1" si="0"/>
        <v>44654</v>
      </c>
      <c r="C60">
        <f t="shared" ca="1" si="1"/>
        <v>32</v>
      </c>
      <c r="D60" t="str">
        <f t="shared" ca="1" si="2"/>
        <v>sell</v>
      </c>
      <c r="E60">
        <f ca="1">LOOKUP(YEAR(A60),dummy_gold_price!$A$2:$A$6,dummy_gold_price!$B$2:$B$6)</f>
        <v>1050000</v>
      </c>
      <c r="F60">
        <f t="shared" ca="1" si="3"/>
        <v>1029000</v>
      </c>
      <c r="G60">
        <f t="shared" ca="1" si="4"/>
        <v>3.76</v>
      </c>
      <c r="H60">
        <f t="shared" ca="1" si="5"/>
        <v>38690.400000000001</v>
      </c>
      <c r="I60">
        <f t="shared" ca="1" si="6"/>
        <v>3907730.4</v>
      </c>
      <c r="J60">
        <f t="shared" ca="1" si="7"/>
        <v>78960</v>
      </c>
      <c r="K60">
        <f t="shared" ca="1" si="8"/>
        <v>40269.599999999999</v>
      </c>
    </row>
    <row r="61" spans="1:11" x14ac:dyDescent="0.45">
      <c r="A61" s="1">
        <f t="shared" ca="1" si="0"/>
        <v>45145</v>
      </c>
      <c r="C61">
        <f t="shared" ca="1" si="1"/>
        <v>10</v>
      </c>
      <c r="D61" t="str">
        <f t="shared" ca="1" si="2"/>
        <v>sell</v>
      </c>
      <c r="E61">
        <f ca="1">LOOKUP(YEAR(A61),dummy_gold_price!$A$2:$A$6,dummy_gold_price!$B$2:$B$6)</f>
        <v>1150000</v>
      </c>
      <c r="F61">
        <f t="shared" ca="1" si="3"/>
        <v>1127000</v>
      </c>
      <c r="G61">
        <f t="shared" ca="1" si="4"/>
        <v>2.95</v>
      </c>
      <c r="H61">
        <f t="shared" ca="1" si="5"/>
        <v>33246.5</v>
      </c>
      <c r="I61">
        <f t="shared" ca="1" si="6"/>
        <v>3357896.5</v>
      </c>
      <c r="J61">
        <f t="shared" ca="1" si="7"/>
        <v>67850</v>
      </c>
      <c r="K61">
        <f t="shared" ca="1" si="8"/>
        <v>34603.5</v>
      </c>
    </row>
    <row r="62" spans="1:11" x14ac:dyDescent="0.45">
      <c r="A62" s="1">
        <f t="shared" ca="1" si="0"/>
        <v>45141</v>
      </c>
      <c r="C62">
        <f t="shared" ca="1" si="1"/>
        <v>42</v>
      </c>
      <c r="D62" t="str">
        <f t="shared" ca="1" si="2"/>
        <v>buy</v>
      </c>
      <c r="E62">
        <f ca="1">LOOKUP(YEAR(A62),dummy_gold_price!$A$2:$A$6,dummy_gold_price!$B$2:$B$6)</f>
        <v>1150000</v>
      </c>
      <c r="F62">
        <f t="shared" ca="1" si="3"/>
        <v>1173000</v>
      </c>
      <c r="G62">
        <f t="shared" ca="1" si="4"/>
        <v>7.18</v>
      </c>
      <c r="H62">
        <f t="shared" ca="1" si="5"/>
        <v>84221.400000000009</v>
      </c>
      <c r="I62">
        <f t="shared" ca="1" si="6"/>
        <v>8506361.4000000004</v>
      </c>
      <c r="J62">
        <f t="shared" ca="1" si="7"/>
        <v>165140</v>
      </c>
      <c r="K62">
        <f t="shared" ca="1" si="8"/>
        <v>80918.599999999991</v>
      </c>
    </row>
    <row r="63" spans="1:11" x14ac:dyDescent="0.45">
      <c r="A63" s="1">
        <f t="shared" ca="1" si="0"/>
        <v>45388</v>
      </c>
      <c r="C63">
        <f t="shared" ca="1" si="1"/>
        <v>22</v>
      </c>
      <c r="D63" t="str">
        <f t="shared" ca="1" si="2"/>
        <v>sell</v>
      </c>
      <c r="E63">
        <f ca="1">LOOKUP(YEAR(A63),dummy_gold_price!$A$2:$A$6,dummy_gold_price!$B$2:$B$6)</f>
        <v>1250000</v>
      </c>
      <c r="F63">
        <f t="shared" ca="1" si="3"/>
        <v>1225000</v>
      </c>
      <c r="G63">
        <f t="shared" ca="1" si="4"/>
        <v>6.6</v>
      </c>
      <c r="H63">
        <f t="shared" ca="1" si="5"/>
        <v>80850</v>
      </c>
      <c r="I63">
        <f t="shared" ca="1" si="6"/>
        <v>8165850</v>
      </c>
      <c r="J63">
        <f t="shared" ca="1" si="7"/>
        <v>165000</v>
      </c>
      <c r="K63">
        <f t="shared" ca="1" si="8"/>
        <v>84150</v>
      </c>
    </row>
    <row r="64" spans="1:11" x14ac:dyDescent="0.45">
      <c r="A64" s="1">
        <f t="shared" ca="1" si="0"/>
        <v>45610</v>
      </c>
      <c r="C64">
        <f t="shared" ca="1" si="1"/>
        <v>13</v>
      </c>
      <c r="D64" t="str">
        <f t="shared" ca="1" si="2"/>
        <v>buy</v>
      </c>
      <c r="E64">
        <f ca="1">LOOKUP(YEAR(A64),dummy_gold_price!$A$2:$A$6,dummy_gold_price!$B$2:$B$6)</f>
        <v>1250000</v>
      </c>
      <c r="F64">
        <f t="shared" ca="1" si="3"/>
        <v>1275000</v>
      </c>
      <c r="G64">
        <f t="shared" ca="1" si="4"/>
        <v>8.4</v>
      </c>
      <c r="H64">
        <f t="shared" ca="1" si="5"/>
        <v>107100</v>
      </c>
      <c r="I64">
        <f t="shared" ca="1" si="6"/>
        <v>10817100</v>
      </c>
      <c r="J64">
        <f t="shared" ca="1" si="7"/>
        <v>210000</v>
      </c>
      <c r="K64">
        <f t="shared" ca="1" si="8"/>
        <v>102900</v>
      </c>
    </row>
    <row r="65" spans="1:11" x14ac:dyDescent="0.45">
      <c r="A65" s="1">
        <f t="shared" ca="1" si="0"/>
        <v>45007</v>
      </c>
      <c r="C65">
        <f t="shared" ca="1" si="1"/>
        <v>2</v>
      </c>
      <c r="D65" t="str">
        <f t="shared" ca="1" si="2"/>
        <v>buy</v>
      </c>
      <c r="E65">
        <f ca="1">LOOKUP(YEAR(A65),dummy_gold_price!$A$2:$A$6,dummy_gold_price!$B$2:$B$6)</f>
        <v>1150000</v>
      </c>
      <c r="F65">
        <f t="shared" ca="1" si="3"/>
        <v>1173000</v>
      </c>
      <c r="G65">
        <f t="shared" ca="1" si="4"/>
        <v>7.35</v>
      </c>
      <c r="H65">
        <f t="shared" ca="1" si="5"/>
        <v>86215.5</v>
      </c>
      <c r="I65">
        <f t="shared" ca="1" si="6"/>
        <v>8707765.5</v>
      </c>
      <c r="J65">
        <f t="shared" ca="1" si="7"/>
        <v>169050</v>
      </c>
      <c r="K65">
        <f t="shared" ca="1" si="8"/>
        <v>82834.5</v>
      </c>
    </row>
    <row r="66" spans="1:11" x14ac:dyDescent="0.45">
      <c r="A66" s="1">
        <f t="shared" ca="1" si="0"/>
        <v>45089</v>
      </c>
      <c r="C66">
        <f t="shared" ca="1" si="1"/>
        <v>11</v>
      </c>
      <c r="D66" t="str">
        <f t="shared" ca="1" si="2"/>
        <v>sell</v>
      </c>
      <c r="E66">
        <f ca="1">LOOKUP(YEAR(A66),dummy_gold_price!$A$2:$A$6,dummy_gold_price!$B$2:$B$6)</f>
        <v>1150000</v>
      </c>
      <c r="F66">
        <f t="shared" ca="1" si="3"/>
        <v>1127000</v>
      </c>
      <c r="G66">
        <f t="shared" ca="1" si="4"/>
        <v>8.11</v>
      </c>
      <c r="H66">
        <f t="shared" ca="1" si="5"/>
        <v>91399.7</v>
      </c>
      <c r="I66">
        <f t="shared" ca="1" si="6"/>
        <v>9231369.6999999993</v>
      </c>
      <c r="J66">
        <f t="shared" ca="1" si="7"/>
        <v>186530</v>
      </c>
      <c r="K66">
        <f t="shared" ca="1" si="8"/>
        <v>95130.3</v>
      </c>
    </row>
    <row r="67" spans="1:11" x14ac:dyDescent="0.45">
      <c r="A67" s="1">
        <f t="shared" ref="A67:A101" ca="1" si="9">RANDBETWEEN(DATE(2020, 1, 1), DATE(2024, 12, 31))</f>
        <v>45227</v>
      </c>
      <c r="C67">
        <f t="shared" ref="C67:C101" ca="1" si="10">RANDBETWEEN(1, 50)</f>
        <v>9</v>
      </c>
      <c r="D67" t="str">
        <f t="shared" ref="D67:D101" ca="1" si="11">IF(RANDBETWEEN(0,1)=0, "sell", "buy")</f>
        <v>buy</v>
      </c>
      <c r="E67">
        <f ca="1">LOOKUP(YEAR(A67),dummy_gold_price!$A$2:$A$6,dummy_gold_price!$B$2:$B$6)</f>
        <v>1150000</v>
      </c>
      <c r="F67">
        <f t="shared" ref="F67:F101" ca="1" si="12">E67+IF(D67="buy", E67*0.02, -E67*0.02)</f>
        <v>1173000</v>
      </c>
      <c r="G67">
        <f t="shared" ref="G67:G101" ca="1" si="13">RANDBETWEEN(0, 1000)/100</f>
        <v>3.48</v>
      </c>
      <c r="H67">
        <f t="shared" ref="H67:H101" ca="1" si="14">F67*G67*0.01</f>
        <v>40820.400000000001</v>
      </c>
      <c r="I67">
        <f t="shared" ref="I67:I101" ca="1" si="15">F67*G67+H67</f>
        <v>4122860.4</v>
      </c>
      <c r="J67">
        <f t="shared" ref="J67:J101" ca="1" si="16">ABS(F67-E67)*G67</f>
        <v>80040</v>
      </c>
      <c r="K67">
        <f t="shared" ref="K67:K101" ca="1" si="17">J67-H67</f>
        <v>39219.599999999999</v>
      </c>
    </row>
    <row r="68" spans="1:11" x14ac:dyDescent="0.45">
      <c r="A68" s="1">
        <f t="shared" ca="1" si="9"/>
        <v>44139</v>
      </c>
      <c r="C68">
        <f t="shared" ca="1" si="10"/>
        <v>42</v>
      </c>
      <c r="D68" t="str">
        <f t="shared" ca="1" si="11"/>
        <v>buy</v>
      </c>
      <c r="E68">
        <f ca="1">LOOKUP(YEAR(A68),dummy_gold_price!$A$2:$A$6,dummy_gold_price!$B$2:$B$6)</f>
        <v>900000</v>
      </c>
      <c r="F68">
        <f t="shared" ca="1" si="12"/>
        <v>918000</v>
      </c>
      <c r="G68">
        <f t="shared" ca="1" si="13"/>
        <v>6.63</v>
      </c>
      <c r="H68">
        <f t="shared" ca="1" si="14"/>
        <v>60863.4</v>
      </c>
      <c r="I68">
        <f t="shared" ca="1" si="15"/>
        <v>6147203.4000000004</v>
      </c>
      <c r="J68">
        <f t="shared" ca="1" si="16"/>
        <v>119340</v>
      </c>
      <c r="K68">
        <f t="shared" ca="1" si="17"/>
        <v>58476.6</v>
      </c>
    </row>
    <row r="69" spans="1:11" x14ac:dyDescent="0.45">
      <c r="A69" s="1">
        <f t="shared" ca="1" si="9"/>
        <v>45607</v>
      </c>
      <c r="C69">
        <f t="shared" ca="1" si="10"/>
        <v>32</v>
      </c>
      <c r="D69" t="str">
        <f t="shared" ca="1" si="11"/>
        <v>sell</v>
      </c>
      <c r="E69">
        <f ca="1">LOOKUP(YEAR(A69),dummy_gold_price!$A$2:$A$6,dummy_gold_price!$B$2:$B$6)</f>
        <v>1250000</v>
      </c>
      <c r="F69">
        <f t="shared" ca="1" si="12"/>
        <v>1225000</v>
      </c>
      <c r="G69">
        <f t="shared" ca="1" si="13"/>
        <v>7.7</v>
      </c>
      <c r="H69">
        <f t="shared" ca="1" si="14"/>
        <v>94325</v>
      </c>
      <c r="I69">
        <f t="shared" ca="1" si="15"/>
        <v>9526825</v>
      </c>
      <c r="J69">
        <f t="shared" ca="1" si="16"/>
        <v>192500</v>
      </c>
      <c r="K69">
        <f t="shared" ca="1" si="17"/>
        <v>98175</v>
      </c>
    </row>
    <row r="70" spans="1:11" x14ac:dyDescent="0.45">
      <c r="A70" s="1">
        <f t="shared" ca="1" si="9"/>
        <v>43917</v>
      </c>
      <c r="C70">
        <f t="shared" ca="1" si="10"/>
        <v>48</v>
      </c>
      <c r="D70" t="str">
        <f t="shared" ca="1" si="11"/>
        <v>sell</v>
      </c>
      <c r="E70">
        <f ca="1">LOOKUP(YEAR(A70),dummy_gold_price!$A$2:$A$6,dummy_gold_price!$B$2:$B$6)</f>
        <v>900000</v>
      </c>
      <c r="F70">
        <f t="shared" ca="1" si="12"/>
        <v>882000</v>
      </c>
      <c r="G70">
        <f t="shared" ca="1" si="13"/>
        <v>9.6300000000000008</v>
      </c>
      <c r="H70">
        <f t="shared" ca="1" si="14"/>
        <v>84936.6</v>
      </c>
      <c r="I70">
        <f t="shared" ca="1" si="15"/>
        <v>8578596.5999999996</v>
      </c>
      <c r="J70">
        <f t="shared" ca="1" si="16"/>
        <v>173340</v>
      </c>
      <c r="K70">
        <f t="shared" ca="1" si="17"/>
        <v>88403.4</v>
      </c>
    </row>
    <row r="71" spans="1:11" x14ac:dyDescent="0.45">
      <c r="A71" s="1">
        <f t="shared" ca="1" si="9"/>
        <v>45045</v>
      </c>
      <c r="C71">
        <f t="shared" ca="1" si="10"/>
        <v>34</v>
      </c>
      <c r="D71" t="str">
        <f t="shared" ca="1" si="11"/>
        <v>sell</v>
      </c>
      <c r="E71">
        <f ca="1">LOOKUP(YEAR(A71),dummy_gold_price!$A$2:$A$6,dummy_gold_price!$B$2:$B$6)</f>
        <v>1150000</v>
      </c>
      <c r="F71">
        <f t="shared" ca="1" si="12"/>
        <v>1127000</v>
      </c>
      <c r="G71">
        <f t="shared" ca="1" si="13"/>
        <v>4.33</v>
      </c>
      <c r="H71">
        <f t="shared" ca="1" si="14"/>
        <v>48799.1</v>
      </c>
      <c r="I71">
        <f t="shared" ca="1" si="15"/>
        <v>4928709.0999999996</v>
      </c>
      <c r="J71">
        <f t="shared" ca="1" si="16"/>
        <v>99590</v>
      </c>
      <c r="K71">
        <f t="shared" ca="1" si="17"/>
        <v>50790.9</v>
      </c>
    </row>
    <row r="72" spans="1:11" x14ac:dyDescent="0.45">
      <c r="A72" s="1">
        <f t="shared" ca="1" si="9"/>
        <v>45627</v>
      </c>
      <c r="C72">
        <f t="shared" ca="1" si="10"/>
        <v>48</v>
      </c>
      <c r="D72" t="str">
        <f t="shared" ca="1" si="11"/>
        <v>sell</v>
      </c>
      <c r="E72">
        <f ca="1">LOOKUP(YEAR(A72),dummy_gold_price!$A$2:$A$6,dummy_gold_price!$B$2:$B$6)</f>
        <v>1250000</v>
      </c>
      <c r="F72">
        <f t="shared" ca="1" si="12"/>
        <v>1225000</v>
      </c>
      <c r="G72">
        <f t="shared" ca="1" si="13"/>
        <v>2.68</v>
      </c>
      <c r="H72">
        <f t="shared" ca="1" si="14"/>
        <v>32830</v>
      </c>
      <c r="I72">
        <f t="shared" ca="1" si="15"/>
        <v>3315830</v>
      </c>
      <c r="J72">
        <f t="shared" ca="1" si="16"/>
        <v>67000</v>
      </c>
      <c r="K72">
        <f t="shared" ca="1" si="17"/>
        <v>34170</v>
      </c>
    </row>
    <row r="73" spans="1:11" x14ac:dyDescent="0.45">
      <c r="A73" s="1">
        <f t="shared" ca="1" si="9"/>
        <v>45378</v>
      </c>
      <c r="C73">
        <f t="shared" ca="1" si="10"/>
        <v>42</v>
      </c>
      <c r="D73" t="str">
        <f t="shared" ca="1" si="11"/>
        <v>buy</v>
      </c>
      <c r="E73">
        <f ca="1">LOOKUP(YEAR(A73),dummy_gold_price!$A$2:$A$6,dummy_gold_price!$B$2:$B$6)</f>
        <v>1250000</v>
      </c>
      <c r="F73">
        <f t="shared" ca="1" si="12"/>
        <v>1275000</v>
      </c>
      <c r="G73">
        <f t="shared" ca="1" si="13"/>
        <v>6.14</v>
      </c>
      <c r="H73">
        <f t="shared" ca="1" si="14"/>
        <v>78285</v>
      </c>
      <c r="I73">
        <f t="shared" ca="1" si="15"/>
        <v>7906785</v>
      </c>
      <c r="J73">
        <f t="shared" ca="1" si="16"/>
        <v>153500</v>
      </c>
      <c r="K73">
        <f t="shared" ca="1" si="17"/>
        <v>75215</v>
      </c>
    </row>
    <row r="74" spans="1:11" x14ac:dyDescent="0.45">
      <c r="A74" s="1">
        <f t="shared" ca="1" si="9"/>
        <v>44771</v>
      </c>
      <c r="C74">
        <f t="shared" ca="1" si="10"/>
        <v>39</v>
      </c>
      <c r="D74" t="str">
        <f t="shared" ca="1" si="11"/>
        <v>buy</v>
      </c>
      <c r="E74">
        <f ca="1">LOOKUP(YEAR(A74),dummy_gold_price!$A$2:$A$6,dummy_gold_price!$B$2:$B$6)</f>
        <v>1050000</v>
      </c>
      <c r="F74">
        <f t="shared" ca="1" si="12"/>
        <v>1071000</v>
      </c>
      <c r="G74">
        <f t="shared" ca="1" si="13"/>
        <v>7</v>
      </c>
      <c r="H74">
        <f t="shared" ca="1" si="14"/>
        <v>74970</v>
      </c>
      <c r="I74">
        <f t="shared" ca="1" si="15"/>
        <v>7571970</v>
      </c>
      <c r="J74">
        <f t="shared" ca="1" si="16"/>
        <v>147000</v>
      </c>
      <c r="K74">
        <f t="shared" ca="1" si="17"/>
        <v>72030</v>
      </c>
    </row>
    <row r="75" spans="1:11" x14ac:dyDescent="0.45">
      <c r="A75" s="1">
        <f t="shared" ca="1" si="9"/>
        <v>44637</v>
      </c>
      <c r="C75">
        <f t="shared" ca="1" si="10"/>
        <v>1</v>
      </c>
      <c r="D75" t="str">
        <f t="shared" ca="1" si="11"/>
        <v>buy</v>
      </c>
      <c r="E75">
        <f ca="1">LOOKUP(YEAR(A75),dummy_gold_price!$A$2:$A$6,dummy_gold_price!$B$2:$B$6)</f>
        <v>1050000</v>
      </c>
      <c r="F75">
        <f t="shared" ca="1" si="12"/>
        <v>1071000</v>
      </c>
      <c r="G75">
        <f t="shared" ca="1" si="13"/>
        <v>3.81</v>
      </c>
      <c r="H75">
        <f t="shared" ca="1" si="14"/>
        <v>40805.1</v>
      </c>
      <c r="I75">
        <f t="shared" ca="1" si="15"/>
        <v>4121315.1</v>
      </c>
      <c r="J75">
        <f t="shared" ca="1" si="16"/>
        <v>80010</v>
      </c>
      <c r="K75">
        <f t="shared" ca="1" si="17"/>
        <v>39204.9</v>
      </c>
    </row>
    <row r="76" spans="1:11" x14ac:dyDescent="0.45">
      <c r="A76" s="1">
        <f t="shared" ca="1" si="9"/>
        <v>45325</v>
      </c>
      <c r="C76">
        <f t="shared" ca="1" si="10"/>
        <v>19</v>
      </c>
      <c r="D76" t="str">
        <f t="shared" ca="1" si="11"/>
        <v>buy</v>
      </c>
      <c r="E76">
        <f ca="1">LOOKUP(YEAR(A76),dummy_gold_price!$A$2:$A$6,dummy_gold_price!$B$2:$B$6)</f>
        <v>1250000</v>
      </c>
      <c r="F76">
        <f t="shared" ca="1" si="12"/>
        <v>1275000</v>
      </c>
      <c r="G76">
        <f t="shared" ca="1" si="13"/>
        <v>4.6100000000000003</v>
      </c>
      <c r="H76">
        <f t="shared" ca="1" si="14"/>
        <v>58777.5</v>
      </c>
      <c r="I76">
        <f t="shared" ca="1" si="15"/>
        <v>5936527.5</v>
      </c>
      <c r="J76">
        <f t="shared" ca="1" si="16"/>
        <v>115250.00000000001</v>
      </c>
      <c r="K76">
        <f t="shared" ca="1" si="17"/>
        <v>56472.500000000015</v>
      </c>
    </row>
    <row r="77" spans="1:11" x14ac:dyDescent="0.45">
      <c r="A77" s="1">
        <f t="shared" ca="1" si="9"/>
        <v>44018</v>
      </c>
      <c r="C77">
        <f t="shared" ca="1" si="10"/>
        <v>3</v>
      </c>
      <c r="D77" t="str">
        <f t="shared" ca="1" si="11"/>
        <v>sell</v>
      </c>
      <c r="E77">
        <f ca="1">LOOKUP(YEAR(A77),dummy_gold_price!$A$2:$A$6,dummy_gold_price!$B$2:$B$6)</f>
        <v>900000</v>
      </c>
      <c r="F77">
        <f t="shared" ca="1" si="12"/>
        <v>882000</v>
      </c>
      <c r="G77">
        <f t="shared" ca="1" si="13"/>
        <v>4.4000000000000004</v>
      </c>
      <c r="H77">
        <f t="shared" ca="1" si="14"/>
        <v>38808.000000000007</v>
      </c>
      <c r="I77">
        <f t="shared" ca="1" si="15"/>
        <v>3919608.0000000005</v>
      </c>
      <c r="J77">
        <f t="shared" ca="1" si="16"/>
        <v>79200</v>
      </c>
      <c r="K77">
        <f t="shared" ca="1" si="17"/>
        <v>40391.999999999993</v>
      </c>
    </row>
    <row r="78" spans="1:11" x14ac:dyDescent="0.45">
      <c r="A78" s="1">
        <f t="shared" ca="1" si="9"/>
        <v>45152</v>
      </c>
      <c r="C78">
        <f t="shared" ca="1" si="10"/>
        <v>28</v>
      </c>
      <c r="D78" t="str">
        <f t="shared" ca="1" si="11"/>
        <v>buy</v>
      </c>
      <c r="E78">
        <f ca="1">LOOKUP(YEAR(A78),dummy_gold_price!$A$2:$A$6,dummy_gold_price!$B$2:$B$6)</f>
        <v>1150000</v>
      </c>
      <c r="F78">
        <f t="shared" ca="1" si="12"/>
        <v>1173000</v>
      </c>
      <c r="G78">
        <f t="shared" ca="1" si="13"/>
        <v>1.66</v>
      </c>
      <c r="H78">
        <f t="shared" ca="1" si="14"/>
        <v>19471.8</v>
      </c>
      <c r="I78">
        <f t="shared" ca="1" si="15"/>
        <v>1966651.8</v>
      </c>
      <c r="J78">
        <f t="shared" ca="1" si="16"/>
        <v>38180</v>
      </c>
      <c r="K78">
        <f t="shared" ca="1" si="17"/>
        <v>18708.2</v>
      </c>
    </row>
    <row r="79" spans="1:11" x14ac:dyDescent="0.45">
      <c r="A79" s="1">
        <f t="shared" ca="1" si="9"/>
        <v>44078</v>
      </c>
      <c r="C79">
        <f t="shared" ca="1" si="10"/>
        <v>29</v>
      </c>
      <c r="D79" t="str">
        <f t="shared" ca="1" si="11"/>
        <v>sell</v>
      </c>
      <c r="E79">
        <f ca="1">LOOKUP(YEAR(A79),dummy_gold_price!$A$2:$A$6,dummy_gold_price!$B$2:$B$6)</f>
        <v>900000</v>
      </c>
      <c r="F79">
        <f t="shared" ca="1" si="12"/>
        <v>882000</v>
      </c>
      <c r="G79">
        <f t="shared" ca="1" si="13"/>
        <v>4.99</v>
      </c>
      <c r="H79">
        <f t="shared" ca="1" si="14"/>
        <v>44011.8</v>
      </c>
      <c r="I79">
        <f t="shared" ca="1" si="15"/>
        <v>4445191.8</v>
      </c>
      <c r="J79">
        <f t="shared" ca="1" si="16"/>
        <v>89820</v>
      </c>
      <c r="K79">
        <f t="shared" ca="1" si="17"/>
        <v>45808.2</v>
      </c>
    </row>
    <row r="80" spans="1:11" x14ac:dyDescent="0.45">
      <c r="A80" s="1">
        <f t="shared" ca="1" si="9"/>
        <v>44321</v>
      </c>
      <c r="C80">
        <f t="shared" ca="1" si="10"/>
        <v>30</v>
      </c>
      <c r="D80" t="str">
        <f t="shared" ca="1" si="11"/>
        <v>sell</v>
      </c>
      <c r="E80">
        <f ca="1">LOOKUP(YEAR(A80),dummy_gold_price!$A$2:$A$6,dummy_gold_price!$B$2:$B$6)</f>
        <v>950000</v>
      </c>
      <c r="F80">
        <f t="shared" ca="1" si="12"/>
        <v>931000</v>
      </c>
      <c r="G80">
        <f t="shared" ca="1" si="13"/>
        <v>5.76</v>
      </c>
      <c r="H80">
        <f t="shared" ca="1" si="14"/>
        <v>53625.599999999999</v>
      </c>
      <c r="I80">
        <f t="shared" ca="1" si="15"/>
        <v>5416185.5999999996</v>
      </c>
      <c r="J80">
        <f t="shared" ca="1" si="16"/>
        <v>109440</v>
      </c>
      <c r="K80">
        <f t="shared" ca="1" si="17"/>
        <v>55814.400000000001</v>
      </c>
    </row>
    <row r="81" spans="1:11" x14ac:dyDescent="0.45">
      <c r="A81" s="1">
        <f t="shared" ca="1" si="9"/>
        <v>45096</v>
      </c>
      <c r="C81">
        <f t="shared" ca="1" si="10"/>
        <v>43</v>
      </c>
      <c r="D81" t="str">
        <f t="shared" ca="1" si="11"/>
        <v>sell</v>
      </c>
      <c r="E81">
        <f ca="1">LOOKUP(YEAR(A81),dummy_gold_price!$A$2:$A$6,dummy_gold_price!$B$2:$B$6)</f>
        <v>1150000</v>
      </c>
      <c r="F81">
        <f t="shared" ca="1" si="12"/>
        <v>1127000</v>
      </c>
      <c r="G81">
        <f t="shared" ca="1" si="13"/>
        <v>4.66</v>
      </c>
      <c r="H81">
        <f t="shared" ca="1" si="14"/>
        <v>52518.200000000004</v>
      </c>
      <c r="I81">
        <f t="shared" ca="1" si="15"/>
        <v>5304338.2</v>
      </c>
      <c r="J81">
        <f t="shared" ca="1" si="16"/>
        <v>107180</v>
      </c>
      <c r="K81">
        <f t="shared" ca="1" si="17"/>
        <v>54661.799999999996</v>
      </c>
    </row>
    <row r="82" spans="1:11" x14ac:dyDescent="0.45">
      <c r="A82" s="1">
        <f t="shared" ca="1" si="9"/>
        <v>43913</v>
      </c>
      <c r="C82">
        <f t="shared" ca="1" si="10"/>
        <v>46</v>
      </c>
      <c r="D82" t="str">
        <f t="shared" ca="1" si="11"/>
        <v>buy</v>
      </c>
      <c r="E82">
        <f ca="1">LOOKUP(YEAR(A82),dummy_gold_price!$A$2:$A$6,dummy_gold_price!$B$2:$B$6)</f>
        <v>900000</v>
      </c>
      <c r="F82">
        <f t="shared" ca="1" si="12"/>
        <v>918000</v>
      </c>
      <c r="G82">
        <f t="shared" ca="1" si="13"/>
        <v>8.85</v>
      </c>
      <c r="H82">
        <f t="shared" ca="1" si="14"/>
        <v>81243</v>
      </c>
      <c r="I82">
        <f t="shared" ca="1" si="15"/>
        <v>8205543</v>
      </c>
      <c r="J82">
        <f t="shared" ca="1" si="16"/>
        <v>159300</v>
      </c>
      <c r="K82">
        <f t="shared" ca="1" si="17"/>
        <v>78057</v>
      </c>
    </row>
    <row r="83" spans="1:11" x14ac:dyDescent="0.45">
      <c r="A83" s="1">
        <f t="shared" ca="1" si="9"/>
        <v>45630</v>
      </c>
      <c r="C83">
        <f t="shared" ca="1" si="10"/>
        <v>14</v>
      </c>
      <c r="D83" t="str">
        <f t="shared" ca="1" si="11"/>
        <v>sell</v>
      </c>
      <c r="E83">
        <f ca="1">LOOKUP(YEAR(A83),dummy_gold_price!$A$2:$A$6,dummy_gold_price!$B$2:$B$6)</f>
        <v>1250000</v>
      </c>
      <c r="F83">
        <f t="shared" ca="1" si="12"/>
        <v>1225000</v>
      </c>
      <c r="G83">
        <f t="shared" ca="1" si="13"/>
        <v>7.37</v>
      </c>
      <c r="H83">
        <f t="shared" ca="1" si="14"/>
        <v>90282.5</v>
      </c>
      <c r="I83">
        <f t="shared" ca="1" si="15"/>
        <v>9118532.5</v>
      </c>
      <c r="J83">
        <f t="shared" ca="1" si="16"/>
        <v>184250</v>
      </c>
      <c r="K83">
        <f t="shared" ca="1" si="17"/>
        <v>93967.5</v>
      </c>
    </row>
    <row r="84" spans="1:11" x14ac:dyDescent="0.45">
      <c r="A84" s="1">
        <f t="shared" ca="1" si="9"/>
        <v>44088</v>
      </c>
      <c r="C84">
        <f t="shared" ca="1" si="10"/>
        <v>3</v>
      </c>
      <c r="D84" t="str">
        <f t="shared" ca="1" si="11"/>
        <v>buy</v>
      </c>
      <c r="E84">
        <f ca="1">LOOKUP(YEAR(A84),dummy_gold_price!$A$2:$A$6,dummy_gold_price!$B$2:$B$6)</f>
        <v>900000</v>
      </c>
      <c r="F84">
        <f t="shared" ca="1" si="12"/>
        <v>918000</v>
      </c>
      <c r="G84">
        <f t="shared" ca="1" si="13"/>
        <v>1.61</v>
      </c>
      <c r="H84">
        <f t="shared" ca="1" si="14"/>
        <v>14779.800000000001</v>
      </c>
      <c r="I84">
        <f t="shared" ca="1" si="15"/>
        <v>1492759.8</v>
      </c>
      <c r="J84">
        <f t="shared" ca="1" si="16"/>
        <v>28980</v>
      </c>
      <c r="K84">
        <f t="shared" ca="1" si="17"/>
        <v>14200.199999999999</v>
      </c>
    </row>
    <row r="85" spans="1:11" x14ac:dyDescent="0.45">
      <c r="A85" s="1">
        <f t="shared" ca="1" si="9"/>
        <v>45594</v>
      </c>
      <c r="C85">
        <f t="shared" ca="1" si="10"/>
        <v>3</v>
      </c>
      <c r="D85" t="str">
        <f t="shared" ca="1" si="11"/>
        <v>buy</v>
      </c>
      <c r="E85">
        <f ca="1">LOOKUP(YEAR(A85),dummy_gold_price!$A$2:$A$6,dummy_gold_price!$B$2:$B$6)</f>
        <v>1250000</v>
      </c>
      <c r="F85">
        <f t="shared" ca="1" si="12"/>
        <v>1275000</v>
      </c>
      <c r="G85">
        <f t="shared" ca="1" si="13"/>
        <v>8.65</v>
      </c>
      <c r="H85">
        <f t="shared" ca="1" si="14"/>
        <v>110287.5</v>
      </c>
      <c r="I85">
        <f t="shared" ca="1" si="15"/>
        <v>11139037.5</v>
      </c>
      <c r="J85">
        <f t="shared" ca="1" si="16"/>
        <v>216250</v>
      </c>
      <c r="K85">
        <f t="shared" ca="1" si="17"/>
        <v>105962.5</v>
      </c>
    </row>
    <row r="86" spans="1:11" x14ac:dyDescent="0.45">
      <c r="A86" s="1">
        <f t="shared" ca="1" si="9"/>
        <v>44391</v>
      </c>
      <c r="C86">
        <f t="shared" ca="1" si="10"/>
        <v>41</v>
      </c>
      <c r="D86" t="str">
        <f t="shared" ca="1" si="11"/>
        <v>sell</v>
      </c>
      <c r="E86">
        <f ca="1">LOOKUP(YEAR(A86),dummy_gold_price!$A$2:$A$6,dummy_gold_price!$B$2:$B$6)</f>
        <v>950000</v>
      </c>
      <c r="F86">
        <f t="shared" ca="1" si="12"/>
        <v>931000</v>
      </c>
      <c r="G86">
        <f t="shared" ca="1" si="13"/>
        <v>6.79</v>
      </c>
      <c r="H86">
        <f t="shared" ca="1" si="14"/>
        <v>63214.9</v>
      </c>
      <c r="I86">
        <f t="shared" ca="1" si="15"/>
        <v>6384704.9000000004</v>
      </c>
      <c r="J86">
        <f t="shared" ca="1" si="16"/>
        <v>129010</v>
      </c>
      <c r="K86">
        <f t="shared" ca="1" si="17"/>
        <v>65795.100000000006</v>
      </c>
    </row>
    <row r="87" spans="1:11" x14ac:dyDescent="0.45">
      <c r="A87" s="1">
        <f t="shared" ca="1" si="9"/>
        <v>44001</v>
      </c>
      <c r="C87">
        <f t="shared" ca="1" si="10"/>
        <v>23</v>
      </c>
      <c r="D87" t="str">
        <f t="shared" ca="1" si="11"/>
        <v>sell</v>
      </c>
      <c r="E87">
        <f ca="1">LOOKUP(YEAR(A87),dummy_gold_price!$A$2:$A$6,dummy_gold_price!$B$2:$B$6)</f>
        <v>900000</v>
      </c>
      <c r="F87">
        <f t="shared" ca="1" si="12"/>
        <v>882000</v>
      </c>
      <c r="G87">
        <f t="shared" ca="1" si="13"/>
        <v>0.14000000000000001</v>
      </c>
      <c r="H87">
        <f t="shared" ca="1" si="14"/>
        <v>1234.8000000000002</v>
      </c>
      <c r="I87">
        <f t="shared" ca="1" si="15"/>
        <v>124714.80000000002</v>
      </c>
      <c r="J87">
        <f t="shared" ca="1" si="16"/>
        <v>2520.0000000000005</v>
      </c>
      <c r="K87">
        <f t="shared" ca="1" si="17"/>
        <v>1285.2000000000003</v>
      </c>
    </row>
    <row r="88" spans="1:11" x14ac:dyDescent="0.45">
      <c r="A88" s="1">
        <f t="shared" ca="1" si="9"/>
        <v>44419</v>
      </c>
      <c r="C88">
        <f t="shared" ca="1" si="10"/>
        <v>50</v>
      </c>
      <c r="D88" t="str">
        <f t="shared" ca="1" si="11"/>
        <v>sell</v>
      </c>
      <c r="E88">
        <f ca="1">LOOKUP(YEAR(A88),dummy_gold_price!$A$2:$A$6,dummy_gold_price!$B$2:$B$6)</f>
        <v>950000</v>
      </c>
      <c r="F88">
        <f t="shared" ca="1" si="12"/>
        <v>931000</v>
      </c>
      <c r="G88">
        <f t="shared" ca="1" si="13"/>
        <v>2.1800000000000002</v>
      </c>
      <c r="H88">
        <f t="shared" ca="1" si="14"/>
        <v>20295.800000000003</v>
      </c>
      <c r="I88">
        <f t="shared" ca="1" si="15"/>
        <v>2049875.8000000003</v>
      </c>
      <c r="J88">
        <f t="shared" ca="1" si="16"/>
        <v>41420</v>
      </c>
      <c r="K88">
        <f t="shared" ca="1" si="17"/>
        <v>21124.199999999997</v>
      </c>
    </row>
    <row r="89" spans="1:11" x14ac:dyDescent="0.45">
      <c r="A89" s="1">
        <f t="shared" ca="1" si="9"/>
        <v>45210</v>
      </c>
      <c r="C89">
        <f t="shared" ca="1" si="10"/>
        <v>18</v>
      </c>
      <c r="D89" t="str">
        <f t="shared" ca="1" si="11"/>
        <v>buy</v>
      </c>
      <c r="E89">
        <f ca="1">LOOKUP(YEAR(A89),dummy_gold_price!$A$2:$A$6,dummy_gold_price!$B$2:$B$6)</f>
        <v>1150000</v>
      </c>
      <c r="F89">
        <f t="shared" ca="1" si="12"/>
        <v>1173000</v>
      </c>
      <c r="G89">
        <f t="shared" ca="1" si="13"/>
        <v>1.42</v>
      </c>
      <c r="H89">
        <f t="shared" ca="1" si="14"/>
        <v>16656.599999999999</v>
      </c>
      <c r="I89">
        <f t="shared" ca="1" si="15"/>
        <v>1682316.6</v>
      </c>
      <c r="J89">
        <f t="shared" ca="1" si="16"/>
        <v>32660</v>
      </c>
      <c r="K89">
        <f t="shared" ca="1" si="17"/>
        <v>16003.400000000001</v>
      </c>
    </row>
    <row r="90" spans="1:11" x14ac:dyDescent="0.45">
      <c r="A90" s="1">
        <f t="shared" ca="1" si="9"/>
        <v>45483</v>
      </c>
      <c r="C90">
        <f t="shared" ca="1" si="10"/>
        <v>13</v>
      </c>
      <c r="D90" t="str">
        <f t="shared" ca="1" si="11"/>
        <v>buy</v>
      </c>
      <c r="E90">
        <f ca="1">LOOKUP(YEAR(A90),dummy_gold_price!$A$2:$A$6,dummy_gold_price!$B$2:$B$6)</f>
        <v>1250000</v>
      </c>
      <c r="F90">
        <f t="shared" ca="1" si="12"/>
        <v>1275000</v>
      </c>
      <c r="G90">
        <f t="shared" ca="1" si="13"/>
        <v>9.67</v>
      </c>
      <c r="H90">
        <f t="shared" ca="1" si="14"/>
        <v>123292.5</v>
      </c>
      <c r="I90">
        <f t="shared" ca="1" si="15"/>
        <v>12452542.5</v>
      </c>
      <c r="J90">
        <f t="shared" ca="1" si="16"/>
        <v>241750</v>
      </c>
      <c r="K90">
        <f t="shared" ca="1" si="17"/>
        <v>118457.5</v>
      </c>
    </row>
    <row r="91" spans="1:11" x14ac:dyDescent="0.45">
      <c r="A91" s="1">
        <f t="shared" ca="1" si="9"/>
        <v>45110</v>
      </c>
      <c r="C91">
        <f t="shared" ca="1" si="10"/>
        <v>49</v>
      </c>
      <c r="D91" t="str">
        <f t="shared" ca="1" si="11"/>
        <v>buy</v>
      </c>
      <c r="E91">
        <f ca="1">LOOKUP(YEAR(A91),dummy_gold_price!$A$2:$A$6,dummy_gold_price!$B$2:$B$6)</f>
        <v>1150000</v>
      </c>
      <c r="F91">
        <f t="shared" ca="1" si="12"/>
        <v>1173000</v>
      </c>
      <c r="G91">
        <f t="shared" ca="1" si="13"/>
        <v>6.48</v>
      </c>
      <c r="H91">
        <f t="shared" ca="1" si="14"/>
        <v>76010.400000000009</v>
      </c>
      <c r="I91">
        <f t="shared" ca="1" si="15"/>
        <v>7677050.4000000013</v>
      </c>
      <c r="J91">
        <f t="shared" ca="1" si="16"/>
        <v>149040</v>
      </c>
      <c r="K91">
        <f t="shared" ca="1" si="17"/>
        <v>73029.599999999991</v>
      </c>
    </row>
    <row r="92" spans="1:11" x14ac:dyDescent="0.45">
      <c r="A92" s="1">
        <f t="shared" ca="1" si="9"/>
        <v>45198</v>
      </c>
      <c r="C92">
        <f t="shared" ca="1" si="10"/>
        <v>23</v>
      </c>
      <c r="D92" t="str">
        <f t="shared" ca="1" si="11"/>
        <v>sell</v>
      </c>
      <c r="E92">
        <f ca="1">LOOKUP(YEAR(A92),dummy_gold_price!$A$2:$A$6,dummy_gold_price!$B$2:$B$6)</f>
        <v>1150000</v>
      </c>
      <c r="F92">
        <f t="shared" ca="1" si="12"/>
        <v>1127000</v>
      </c>
      <c r="G92">
        <f t="shared" ca="1" si="13"/>
        <v>3.94</v>
      </c>
      <c r="H92">
        <f t="shared" ca="1" si="14"/>
        <v>44403.8</v>
      </c>
      <c r="I92">
        <f t="shared" ca="1" si="15"/>
        <v>4484783.8</v>
      </c>
      <c r="J92">
        <f t="shared" ca="1" si="16"/>
        <v>90620</v>
      </c>
      <c r="K92">
        <f t="shared" ca="1" si="17"/>
        <v>46216.2</v>
      </c>
    </row>
    <row r="93" spans="1:11" x14ac:dyDescent="0.45">
      <c r="A93" s="1">
        <f t="shared" ca="1" si="9"/>
        <v>44108</v>
      </c>
      <c r="C93">
        <f t="shared" ca="1" si="10"/>
        <v>4</v>
      </c>
      <c r="D93" t="str">
        <f t="shared" ca="1" si="11"/>
        <v>buy</v>
      </c>
      <c r="E93">
        <f ca="1">LOOKUP(YEAR(A93),dummy_gold_price!$A$2:$A$6,dummy_gold_price!$B$2:$B$6)</f>
        <v>900000</v>
      </c>
      <c r="F93">
        <f t="shared" ca="1" si="12"/>
        <v>918000</v>
      </c>
      <c r="G93">
        <f t="shared" ca="1" si="13"/>
        <v>9.65</v>
      </c>
      <c r="H93">
        <f t="shared" ca="1" si="14"/>
        <v>88587</v>
      </c>
      <c r="I93">
        <f t="shared" ca="1" si="15"/>
        <v>8947287</v>
      </c>
      <c r="J93">
        <f t="shared" ca="1" si="16"/>
        <v>173700</v>
      </c>
      <c r="K93">
        <f t="shared" ca="1" si="17"/>
        <v>85113</v>
      </c>
    </row>
    <row r="94" spans="1:11" x14ac:dyDescent="0.45">
      <c r="A94" s="1">
        <f t="shared" ca="1" si="9"/>
        <v>44817</v>
      </c>
      <c r="C94">
        <f t="shared" ca="1" si="10"/>
        <v>43</v>
      </c>
      <c r="D94" t="str">
        <f t="shared" ca="1" si="11"/>
        <v>sell</v>
      </c>
      <c r="E94">
        <f ca="1">LOOKUP(YEAR(A94),dummy_gold_price!$A$2:$A$6,dummy_gold_price!$B$2:$B$6)</f>
        <v>1050000</v>
      </c>
      <c r="F94">
        <f t="shared" ca="1" si="12"/>
        <v>1029000</v>
      </c>
      <c r="G94">
        <f t="shared" ca="1" si="13"/>
        <v>3.33</v>
      </c>
      <c r="H94">
        <f t="shared" ca="1" si="14"/>
        <v>34265.699999999997</v>
      </c>
      <c r="I94">
        <f t="shared" ca="1" si="15"/>
        <v>3460835.7</v>
      </c>
      <c r="J94">
        <f t="shared" ca="1" si="16"/>
        <v>69930</v>
      </c>
      <c r="K94">
        <f t="shared" ca="1" si="17"/>
        <v>35664.300000000003</v>
      </c>
    </row>
    <row r="95" spans="1:11" x14ac:dyDescent="0.45">
      <c r="A95" s="1">
        <f t="shared" ca="1" si="9"/>
        <v>45109</v>
      </c>
      <c r="C95">
        <f t="shared" ca="1" si="10"/>
        <v>47</v>
      </c>
      <c r="D95" t="str">
        <f t="shared" ca="1" si="11"/>
        <v>sell</v>
      </c>
      <c r="E95">
        <f ca="1">LOOKUP(YEAR(A95),dummy_gold_price!$A$2:$A$6,dummy_gold_price!$B$2:$B$6)</f>
        <v>1150000</v>
      </c>
      <c r="F95">
        <f t="shared" ca="1" si="12"/>
        <v>1127000</v>
      </c>
      <c r="G95">
        <f t="shared" ca="1" si="13"/>
        <v>2.4300000000000002</v>
      </c>
      <c r="H95">
        <f t="shared" ca="1" si="14"/>
        <v>27386.100000000002</v>
      </c>
      <c r="I95">
        <f t="shared" ca="1" si="15"/>
        <v>2765996.1</v>
      </c>
      <c r="J95">
        <f t="shared" ca="1" si="16"/>
        <v>55890.000000000007</v>
      </c>
      <c r="K95">
        <f t="shared" ca="1" si="17"/>
        <v>28503.900000000005</v>
      </c>
    </row>
    <row r="96" spans="1:11" x14ac:dyDescent="0.45">
      <c r="A96" s="1">
        <f t="shared" ca="1" si="9"/>
        <v>44834</v>
      </c>
      <c r="C96">
        <f t="shared" ca="1" si="10"/>
        <v>40</v>
      </c>
      <c r="D96" t="str">
        <f t="shared" ca="1" si="11"/>
        <v>buy</v>
      </c>
      <c r="E96">
        <f ca="1">LOOKUP(YEAR(A96),dummy_gold_price!$A$2:$A$6,dummy_gold_price!$B$2:$B$6)</f>
        <v>1050000</v>
      </c>
      <c r="F96">
        <f t="shared" ca="1" si="12"/>
        <v>1071000</v>
      </c>
      <c r="G96">
        <f t="shared" ca="1" si="13"/>
        <v>1.1499999999999999</v>
      </c>
      <c r="H96">
        <f t="shared" ca="1" si="14"/>
        <v>12316.5</v>
      </c>
      <c r="I96">
        <f t="shared" ca="1" si="15"/>
        <v>1243966.5</v>
      </c>
      <c r="J96">
        <f t="shared" ca="1" si="16"/>
        <v>24149.999999999996</v>
      </c>
      <c r="K96">
        <f t="shared" ca="1" si="17"/>
        <v>11833.499999999996</v>
      </c>
    </row>
    <row r="97" spans="1:11" x14ac:dyDescent="0.45">
      <c r="A97" s="1">
        <f t="shared" ca="1" si="9"/>
        <v>43942</v>
      </c>
      <c r="C97">
        <f t="shared" ca="1" si="10"/>
        <v>31</v>
      </c>
      <c r="D97" t="str">
        <f t="shared" ca="1" si="11"/>
        <v>buy</v>
      </c>
      <c r="E97">
        <f ca="1">LOOKUP(YEAR(A97),dummy_gold_price!$A$2:$A$6,dummy_gold_price!$B$2:$B$6)</f>
        <v>900000</v>
      </c>
      <c r="F97">
        <f t="shared" ca="1" si="12"/>
        <v>918000</v>
      </c>
      <c r="G97">
        <f t="shared" ca="1" si="13"/>
        <v>8.8800000000000008</v>
      </c>
      <c r="H97">
        <f t="shared" ca="1" si="14"/>
        <v>81518.400000000009</v>
      </c>
      <c r="I97">
        <f t="shared" ca="1" si="15"/>
        <v>8233358.4000000013</v>
      </c>
      <c r="J97">
        <f t="shared" ca="1" si="16"/>
        <v>159840</v>
      </c>
      <c r="K97">
        <f t="shared" ca="1" si="17"/>
        <v>78321.599999999991</v>
      </c>
    </row>
    <row r="98" spans="1:11" x14ac:dyDescent="0.45">
      <c r="A98" s="1">
        <f t="shared" ca="1" si="9"/>
        <v>45028</v>
      </c>
      <c r="C98">
        <f t="shared" ca="1" si="10"/>
        <v>11</v>
      </c>
      <c r="D98" t="str">
        <f t="shared" ca="1" si="11"/>
        <v>sell</v>
      </c>
      <c r="E98">
        <f ca="1">LOOKUP(YEAR(A98),dummy_gold_price!$A$2:$A$6,dummy_gold_price!$B$2:$B$6)</f>
        <v>1150000</v>
      </c>
      <c r="F98">
        <f t="shared" ca="1" si="12"/>
        <v>1127000</v>
      </c>
      <c r="G98">
        <f t="shared" ca="1" si="13"/>
        <v>0.8</v>
      </c>
      <c r="H98">
        <f t="shared" ca="1" si="14"/>
        <v>9016</v>
      </c>
      <c r="I98">
        <f t="shared" ca="1" si="15"/>
        <v>910616</v>
      </c>
      <c r="J98">
        <f t="shared" ca="1" si="16"/>
        <v>18400</v>
      </c>
      <c r="K98">
        <f t="shared" ca="1" si="17"/>
        <v>9384</v>
      </c>
    </row>
    <row r="99" spans="1:11" x14ac:dyDescent="0.45">
      <c r="A99" s="1">
        <f t="shared" ca="1" si="9"/>
        <v>45514</v>
      </c>
      <c r="C99">
        <f t="shared" ca="1" si="10"/>
        <v>11</v>
      </c>
      <c r="D99" t="str">
        <f t="shared" ca="1" si="11"/>
        <v>buy</v>
      </c>
      <c r="E99">
        <f ca="1">LOOKUP(YEAR(A99),dummy_gold_price!$A$2:$A$6,dummy_gold_price!$B$2:$B$6)</f>
        <v>1250000</v>
      </c>
      <c r="F99">
        <f t="shared" ca="1" si="12"/>
        <v>1275000</v>
      </c>
      <c r="G99">
        <f t="shared" ca="1" si="13"/>
        <v>3.54</v>
      </c>
      <c r="H99">
        <f t="shared" ca="1" si="14"/>
        <v>45135</v>
      </c>
      <c r="I99">
        <f t="shared" ca="1" si="15"/>
        <v>4558635</v>
      </c>
      <c r="J99">
        <f t="shared" ca="1" si="16"/>
        <v>88500</v>
      </c>
      <c r="K99">
        <f t="shared" ca="1" si="17"/>
        <v>43365</v>
      </c>
    </row>
    <row r="100" spans="1:11" x14ac:dyDescent="0.45">
      <c r="A100" s="1">
        <f t="shared" ca="1" si="9"/>
        <v>44057</v>
      </c>
      <c r="C100">
        <f t="shared" ca="1" si="10"/>
        <v>39</v>
      </c>
      <c r="D100" t="str">
        <f t="shared" ca="1" si="11"/>
        <v>buy</v>
      </c>
      <c r="E100">
        <f ca="1">LOOKUP(YEAR(A100),dummy_gold_price!$A$2:$A$6,dummy_gold_price!$B$2:$B$6)</f>
        <v>900000</v>
      </c>
      <c r="F100">
        <f t="shared" ca="1" si="12"/>
        <v>918000</v>
      </c>
      <c r="G100">
        <f t="shared" ca="1" si="13"/>
        <v>6.89</v>
      </c>
      <c r="H100">
        <f t="shared" ca="1" si="14"/>
        <v>63250.200000000004</v>
      </c>
      <c r="I100">
        <f t="shared" ca="1" si="15"/>
        <v>6388270.2000000002</v>
      </c>
      <c r="J100">
        <f t="shared" ca="1" si="16"/>
        <v>124020</v>
      </c>
      <c r="K100">
        <f t="shared" ca="1" si="17"/>
        <v>60769.799999999996</v>
      </c>
    </row>
    <row r="101" spans="1:11" x14ac:dyDescent="0.45">
      <c r="A101" s="1">
        <f t="shared" ca="1" si="9"/>
        <v>44723</v>
      </c>
      <c r="C101">
        <f t="shared" ca="1" si="10"/>
        <v>39</v>
      </c>
      <c r="D101" t="str">
        <f t="shared" ca="1" si="11"/>
        <v>sell</v>
      </c>
      <c r="E101">
        <f ca="1">LOOKUP(YEAR(A101),dummy_gold_price!$A$2:$A$6,dummy_gold_price!$B$2:$B$6)</f>
        <v>1050000</v>
      </c>
      <c r="F101">
        <f t="shared" ca="1" si="12"/>
        <v>1029000</v>
      </c>
      <c r="G101">
        <f t="shared" ca="1" si="13"/>
        <v>6.26</v>
      </c>
      <c r="H101">
        <f t="shared" ca="1" si="14"/>
        <v>64415.4</v>
      </c>
      <c r="I101">
        <f t="shared" ca="1" si="15"/>
        <v>6505955.4000000004</v>
      </c>
      <c r="J101">
        <f t="shared" ca="1" si="16"/>
        <v>131460</v>
      </c>
      <c r="K101">
        <f t="shared" ca="1" si="17"/>
        <v>67044.600000000006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4879-5561-4B02-8B34-96EDE19ED4E8}">
  <dimension ref="A1:B6"/>
  <sheetViews>
    <sheetView workbookViewId="0">
      <selection activeCell="C19" sqref="C19"/>
    </sheetView>
  </sheetViews>
  <sheetFormatPr defaultRowHeight="14.25" x14ac:dyDescent="0.45"/>
  <cols>
    <col min="1" max="1" width="4.73046875" bestFit="1" customWidth="1"/>
    <col min="2" max="2" width="7.73046875" bestFit="1" customWidth="1"/>
    <col min="3" max="3" width="13.19921875" bestFit="1" customWidth="1"/>
  </cols>
  <sheetData>
    <row r="1" spans="1:2" x14ac:dyDescent="0.45">
      <c r="A1" t="s">
        <v>11</v>
      </c>
      <c r="B1" t="s">
        <v>14</v>
      </c>
    </row>
    <row r="2" spans="1:2" x14ac:dyDescent="0.45">
      <c r="A2">
        <v>2020</v>
      </c>
      <c r="B2">
        <v>900000</v>
      </c>
    </row>
    <row r="3" spans="1:2" x14ac:dyDescent="0.45">
      <c r="A3">
        <v>2021</v>
      </c>
      <c r="B3">
        <v>950000</v>
      </c>
    </row>
    <row r="4" spans="1:2" x14ac:dyDescent="0.45">
      <c r="A4">
        <v>2022</v>
      </c>
      <c r="B4">
        <v>1050000</v>
      </c>
    </row>
    <row r="5" spans="1:2" x14ac:dyDescent="0.45">
      <c r="A5">
        <v>2023</v>
      </c>
      <c r="B5">
        <v>1150000</v>
      </c>
    </row>
    <row r="6" spans="1:2" x14ac:dyDescent="0.45">
      <c r="A6">
        <v>2024</v>
      </c>
      <c r="B6">
        <v>1250000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0E6D-BD8A-4960-AF03-5BCA1FEB4A89}">
  <dimension ref="A1:K101"/>
  <sheetViews>
    <sheetView tabSelected="1" workbookViewId="0">
      <selection activeCell="F9" sqref="F9"/>
    </sheetView>
  </sheetViews>
  <sheetFormatPr defaultRowHeight="14.25" x14ac:dyDescent="0.45"/>
  <cols>
    <col min="1" max="1" width="9.9296875" style="1" bestFit="1" customWidth="1"/>
    <col min="2" max="2" width="14.1328125" bestFit="1" customWidth="1"/>
    <col min="3" max="3" width="8.59765625" bestFit="1" customWidth="1"/>
    <col min="4" max="4" width="16.06640625" bestFit="1" customWidth="1"/>
    <col min="5" max="5" width="11" bestFit="1" customWidth="1"/>
    <col min="6" max="6" width="10.3984375" bestFit="1" customWidth="1"/>
    <col min="7" max="7" width="9.33203125" bestFit="1" customWidth="1"/>
    <col min="8" max="8" width="15.1328125" bestFit="1" customWidth="1"/>
    <col min="9" max="9" width="14.796875" bestFit="1" customWidth="1"/>
    <col min="10" max="10" width="13.53125" bestFit="1" customWidth="1"/>
    <col min="11" max="11" width="16.9296875" bestFit="1" customWidth="1"/>
  </cols>
  <sheetData>
    <row r="1" spans="1:11" x14ac:dyDescent="0.45">
      <c r="A1" s="1" t="s">
        <v>2</v>
      </c>
      <c r="B1" t="s">
        <v>1</v>
      </c>
      <c r="C1" t="s">
        <v>0</v>
      </c>
      <c r="D1" t="s">
        <v>10</v>
      </c>
      <c r="E1" t="s">
        <v>7</v>
      </c>
      <c r="F1" t="s">
        <v>4</v>
      </c>
      <c r="G1" t="s">
        <v>3</v>
      </c>
      <c r="H1" t="s">
        <v>8</v>
      </c>
      <c r="I1" t="s">
        <v>5</v>
      </c>
      <c r="J1" t="s">
        <v>6</v>
      </c>
      <c r="K1" t="s">
        <v>9</v>
      </c>
    </row>
    <row r="2" spans="1:11" x14ac:dyDescent="0.45">
      <c r="A2" s="1">
        <v>43850</v>
      </c>
      <c r="B2" s="2" t="str">
        <f>"DG"&amp;TEXT(ROW(A1), "0000000000")</f>
        <v>DG0000000001</v>
      </c>
      <c r="C2">
        <v>13</v>
      </c>
      <c r="D2" t="s">
        <v>12</v>
      </c>
      <c r="E2">
        <v>900000</v>
      </c>
      <c r="F2">
        <v>882000</v>
      </c>
      <c r="G2">
        <v>8.2100000000000009</v>
      </c>
      <c r="H2">
        <v>72412.200000000012</v>
      </c>
      <c r="I2">
        <v>7313632.2000000011</v>
      </c>
      <c r="J2">
        <v>147780.00000000003</v>
      </c>
      <c r="K2">
        <v>75367.800000000017</v>
      </c>
    </row>
    <row r="3" spans="1:11" x14ac:dyDescent="0.45">
      <c r="A3" s="1">
        <v>43853</v>
      </c>
      <c r="B3" s="2" t="str">
        <f t="shared" ref="B3:B66" si="0">"DG"&amp;TEXT(ROW(A2), "0000000000")</f>
        <v>DG0000000002</v>
      </c>
      <c r="C3">
        <v>50</v>
      </c>
      <c r="D3" t="s">
        <v>12</v>
      </c>
      <c r="E3">
        <v>900000</v>
      </c>
      <c r="F3">
        <v>882000</v>
      </c>
      <c r="G3">
        <v>2.84</v>
      </c>
      <c r="H3">
        <v>25048.799999999999</v>
      </c>
      <c r="I3">
        <v>2529928.7999999998</v>
      </c>
      <c r="J3">
        <v>51120</v>
      </c>
      <c r="K3">
        <v>26071.200000000001</v>
      </c>
    </row>
    <row r="4" spans="1:11" x14ac:dyDescent="0.45">
      <c r="A4" s="1">
        <v>43862</v>
      </c>
      <c r="B4" s="2" t="str">
        <f t="shared" si="0"/>
        <v>DG0000000003</v>
      </c>
      <c r="C4">
        <v>37</v>
      </c>
      <c r="D4" t="s">
        <v>13</v>
      </c>
      <c r="E4">
        <v>900000</v>
      </c>
      <c r="F4">
        <v>918000</v>
      </c>
      <c r="G4">
        <v>1.29</v>
      </c>
      <c r="H4">
        <v>11842.2</v>
      </c>
      <c r="I4">
        <v>1196062.2</v>
      </c>
      <c r="J4">
        <v>23220</v>
      </c>
      <c r="K4">
        <v>11377.8</v>
      </c>
    </row>
    <row r="5" spans="1:11" x14ac:dyDescent="0.45">
      <c r="A5" s="1">
        <v>43867</v>
      </c>
      <c r="B5" s="2" t="str">
        <f t="shared" si="0"/>
        <v>DG0000000004</v>
      </c>
      <c r="C5">
        <v>6</v>
      </c>
      <c r="D5" t="s">
        <v>12</v>
      </c>
      <c r="E5">
        <v>900000</v>
      </c>
      <c r="F5">
        <v>882000</v>
      </c>
      <c r="G5">
        <v>5.43</v>
      </c>
      <c r="H5">
        <v>47892.6</v>
      </c>
      <c r="I5">
        <v>4837152.5999999996</v>
      </c>
      <c r="J5">
        <v>97740</v>
      </c>
      <c r="K5">
        <v>49847.4</v>
      </c>
    </row>
    <row r="6" spans="1:11" x14ac:dyDescent="0.45">
      <c r="A6" s="1">
        <v>43886</v>
      </c>
      <c r="B6" s="2" t="str">
        <f t="shared" si="0"/>
        <v>DG0000000005</v>
      </c>
      <c r="C6">
        <v>38</v>
      </c>
      <c r="D6" t="s">
        <v>13</v>
      </c>
      <c r="E6">
        <v>900000</v>
      </c>
      <c r="F6">
        <v>918000</v>
      </c>
      <c r="G6">
        <v>8.08</v>
      </c>
      <c r="H6">
        <v>74174.400000000009</v>
      </c>
      <c r="I6">
        <v>7491614.4000000004</v>
      </c>
      <c r="J6">
        <v>145440</v>
      </c>
      <c r="K6">
        <v>71265.599999999991</v>
      </c>
    </row>
    <row r="7" spans="1:11" x14ac:dyDescent="0.45">
      <c r="A7" s="1">
        <v>43908</v>
      </c>
      <c r="B7" s="2" t="str">
        <f t="shared" si="0"/>
        <v>DG0000000006</v>
      </c>
      <c r="C7">
        <v>29</v>
      </c>
      <c r="D7" t="s">
        <v>13</v>
      </c>
      <c r="E7">
        <v>900000</v>
      </c>
      <c r="F7">
        <v>918000</v>
      </c>
      <c r="G7">
        <v>0.47</v>
      </c>
      <c r="H7">
        <v>4314.6000000000004</v>
      </c>
      <c r="I7">
        <v>435774.6</v>
      </c>
      <c r="J7">
        <v>8460</v>
      </c>
      <c r="K7">
        <v>4145.3999999999996</v>
      </c>
    </row>
    <row r="8" spans="1:11" x14ac:dyDescent="0.45">
      <c r="A8" s="1">
        <v>43914</v>
      </c>
      <c r="B8" s="2" t="str">
        <f t="shared" si="0"/>
        <v>DG0000000007</v>
      </c>
      <c r="C8">
        <v>1</v>
      </c>
      <c r="D8" t="s">
        <v>12</v>
      </c>
      <c r="E8">
        <v>900000</v>
      </c>
      <c r="F8">
        <v>882000</v>
      </c>
      <c r="G8">
        <v>7.06</v>
      </c>
      <c r="H8">
        <v>62269.200000000004</v>
      </c>
      <c r="I8">
        <v>6289189.2000000002</v>
      </c>
      <c r="J8">
        <v>127080</v>
      </c>
      <c r="K8">
        <v>64810.799999999996</v>
      </c>
    </row>
    <row r="9" spans="1:11" x14ac:dyDescent="0.45">
      <c r="A9" s="1">
        <v>43923</v>
      </c>
      <c r="B9" s="2" t="str">
        <f t="shared" si="0"/>
        <v>DG0000000008</v>
      </c>
      <c r="C9">
        <v>30</v>
      </c>
      <c r="D9" t="s">
        <v>12</v>
      </c>
      <c r="E9">
        <v>900000</v>
      </c>
      <c r="F9">
        <v>882000</v>
      </c>
      <c r="G9">
        <v>9.84</v>
      </c>
      <c r="H9">
        <v>86788.800000000003</v>
      </c>
      <c r="I9">
        <v>8765668.8000000007</v>
      </c>
      <c r="J9">
        <v>177120</v>
      </c>
      <c r="K9">
        <v>90331.199999999997</v>
      </c>
    </row>
    <row r="10" spans="1:11" x14ac:dyDescent="0.45">
      <c r="A10" s="1">
        <v>43937</v>
      </c>
      <c r="B10" s="2" t="str">
        <f t="shared" si="0"/>
        <v>DG0000000009</v>
      </c>
      <c r="C10">
        <v>31</v>
      </c>
      <c r="D10" t="s">
        <v>13</v>
      </c>
      <c r="E10">
        <v>900000</v>
      </c>
      <c r="F10">
        <v>918000</v>
      </c>
      <c r="G10">
        <v>8.3800000000000008</v>
      </c>
      <c r="H10">
        <v>76928.400000000009</v>
      </c>
      <c r="I10">
        <v>7769768.4000000013</v>
      </c>
      <c r="J10">
        <v>150840</v>
      </c>
      <c r="K10">
        <v>73911.599999999991</v>
      </c>
    </row>
    <row r="11" spans="1:11" x14ac:dyDescent="0.45">
      <c r="A11" s="1">
        <v>43947</v>
      </c>
      <c r="B11" s="2" t="str">
        <f t="shared" si="0"/>
        <v>DG0000000010</v>
      </c>
      <c r="C11">
        <v>2</v>
      </c>
      <c r="D11" t="s">
        <v>12</v>
      </c>
      <c r="E11">
        <v>900000</v>
      </c>
      <c r="F11">
        <v>882000</v>
      </c>
      <c r="G11">
        <v>4.3600000000000003</v>
      </c>
      <c r="H11">
        <v>38455.200000000004</v>
      </c>
      <c r="I11">
        <v>3883975.2000000007</v>
      </c>
      <c r="J11">
        <v>78480</v>
      </c>
      <c r="K11">
        <v>40024.799999999996</v>
      </c>
    </row>
    <row r="12" spans="1:11" x14ac:dyDescent="0.45">
      <c r="A12" s="1">
        <v>43962</v>
      </c>
      <c r="B12" s="2" t="str">
        <f t="shared" si="0"/>
        <v>DG0000000011</v>
      </c>
      <c r="C12">
        <v>40</v>
      </c>
      <c r="D12" t="s">
        <v>12</v>
      </c>
      <c r="E12">
        <v>900000</v>
      </c>
      <c r="F12">
        <v>882000</v>
      </c>
      <c r="G12">
        <v>7.19</v>
      </c>
      <c r="H12">
        <v>63415.8</v>
      </c>
      <c r="I12">
        <v>6404995.7999999998</v>
      </c>
      <c r="J12">
        <v>129420</v>
      </c>
      <c r="K12">
        <v>66004.2</v>
      </c>
    </row>
    <row r="13" spans="1:11" x14ac:dyDescent="0.45">
      <c r="A13" s="1">
        <v>43978</v>
      </c>
      <c r="B13" s="2" t="str">
        <f t="shared" si="0"/>
        <v>DG0000000012</v>
      </c>
      <c r="C13">
        <v>15</v>
      </c>
      <c r="D13" t="s">
        <v>12</v>
      </c>
      <c r="E13">
        <v>900000</v>
      </c>
      <c r="F13">
        <v>882000</v>
      </c>
      <c r="G13">
        <v>6.62</v>
      </c>
      <c r="H13">
        <v>58388.4</v>
      </c>
      <c r="I13">
        <v>5897228.4000000004</v>
      </c>
      <c r="J13">
        <v>119160</v>
      </c>
      <c r="K13">
        <v>60771.6</v>
      </c>
    </row>
    <row r="14" spans="1:11" x14ac:dyDescent="0.45">
      <c r="A14" s="1">
        <v>43978</v>
      </c>
      <c r="B14" s="2" t="str">
        <f t="shared" si="0"/>
        <v>DG0000000013</v>
      </c>
      <c r="C14">
        <v>50</v>
      </c>
      <c r="D14" t="s">
        <v>12</v>
      </c>
      <c r="E14">
        <v>900000</v>
      </c>
      <c r="F14">
        <v>882000</v>
      </c>
      <c r="G14">
        <v>4.92</v>
      </c>
      <c r="H14">
        <v>43394.400000000001</v>
      </c>
      <c r="I14">
        <v>4382834.4000000004</v>
      </c>
      <c r="J14">
        <v>88560</v>
      </c>
      <c r="K14">
        <v>45165.599999999999</v>
      </c>
    </row>
    <row r="15" spans="1:11" x14ac:dyDescent="0.45">
      <c r="A15" s="1">
        <v>43981</v>
      </c>
      <c r="B15" s="2" t="str">
        <f t="shared" si="0"/>
        <v>DG0000000014</v>
      </c>
      <c r="C15">
        <v>47</v>
      </c>
      <c r="D15" t="s">
        <v>12</v>
      </c>
      <c r="E15">
        <v>900000</v>
      </c>
      <c r="F15">
        <v>882000</v>
      </c>
      <c r="G15">
        <v>6.46</v>
      </c>
      <c r="H15">
        <v>56977.200000000004</v>
      </c>
      <c r="I15">
        <v>5754697.2000000002</v>
      </c>
      <c r="J15">
        <v>116280</v>
      </c>
      <c r="K15">
        <v>59302.799999999996</v>
      </c>
    </row>
    <row r="16" spans="1:11" x14ac:dyDescent="0.45">
      <c r="A16" s="1">
        <v>44022</v>
      </c>
      <c r="B16" s="2" t="str">
        <f t="shared" si="0"/>
        <v>DG0000000015</v>
      </c>
      <c r="C16">
        <v>9</v>
      </c>
      <c r="D16" t="s">
        <v>12</v>
      </c>
      <c r="E16">
        <v>900000</v>
      </c>
      <c r="F16">
        <v>882000</v>
      </c>
      <c r="G16">
        <v>7.38</v>
      </c>
      <c r="H16">
        <v>65091.6</v>
      </c>
      <c r="I16">
        <v>6574251.5999999996</v>
      </c>
      <c r="J16">
        <v>132840</v>
      </c>
      <c r="K16">
        <v>67748.399999999994</v>
      </c>
    </row>
    <row r="17" spans="1:11" x14ac:dyDescent="0.45">
      <c r="A17" s="1">
        <v>44026</v>
      </c>
      <c r="B17" s="2" t="str">
        <f t="shared" si="0"/>
        <v>DG0000000016</v>
      </c>
      <c r="C17">
        <v>27</v>
      </c>
      <c r="D17" t="s">
        <v>12</v>
      </c>
      <c r="E17">
        <v>900000</v>
      </c>
      <c r="F17">
        <v>882000</v>
      </c>
      <c r="G17">
        <v>7.42</v>
      </c>
      <c r="H17">
        <v>65444.4</v>
      </c>
      <c r="I17">
        <v>6609884.4000000004</v>
      </c>
      <c r="J17">
        <v>133560</v>
      </c>
      <c r="K17">
        <v>68115.600000000006</v>
      </c>
    </row>
    <row r="18" spans="1:11" x14ac:dyDescent="0.45">
      <c r="A18" s="1">
        <v>44032</v>
      </c>
      <c r="B18" s="2" t="str">
        <f t="shared" si="0"/>
        <v>DG0000000017</v>
      </c>
      <c r="C18">
        <v>27</v>
      </c>
      <c r="D18" t="s">
        <v>12</v>
      </c>
      <c r="E18">
        <v>900000</v>
      </c>
      <c r="F18">
        <v>882000</v>
      </c>
      <c r="G18">
        <v>7.03</v>
      </c>
      <c r="H18">
        <v>62004.6</v>
      </c>
      <c r="I18">
        <v>6262464.5999999996</v>
      </c>
      <c r="J18">
        <v>126540</v>
      </c>
      <c r="K18">
        <v>64535.4</v>
      </c>
    </row>
    <row r="19" spans="1:11" x14ac:dyDescent="0.45">
      <c r="A19" s="1">
        <v>44041</v>
      </c>
      <c r="B19" s="2" t="str">
        <f t="shared" si="0"/>
        <v>DG0000000018</v>
      </c>
      <c r="C19">
        <v>14</v>
      </c>
      <c r="D19" t="s">
        <v>12</v>
      </c>
      <c r="E19">
        <v>900000</v>
      </c>
      <c r="F19">
        <v>882000</v>
      </c>
      <c r="G19">
        <v>1.78</v>
      </c>
      <c r="H19">
        <v>15699.6</v>
      </c>
      <c r="I19">
        <v>1585659.6</v>
      </c>
      <c r="J19">
        <v>32040</v>
      </c>
      <c r="K19">
        <v>16340.4</v>
      </c>
    </row>
    <row r="20" spans="1:11" x14ac:dyDescent="0.45">
      <c r="A20" s="1">
        <v>44062</v>
      </c>
      <c r="B20" s="2" t="str">
        <f t="shared" si="0"/>
        <v>DG0000000019</v>
      </c>
      <c r="C20">
        <v>24</v>
      </c>
      <c r="D20" t="s">
        <v>13</v>
      </c>
      <c r="E20">
        <v>900000</v>
      </c>
      <c r="F20">
        <v>918000</v>
      </c>
      <c r="G20">
        <v>5.52</v>
      </c>
      <c r="H20">
        <v>50673.599999999999</v>
      </c>
      <c r="I20">
        <v>5118033.5999999996</v>
      </c>
      <c r="J20">
        <v>99359.999999999985</v>
      </c>
      <c r="K20">
        <v>48686.399999999987</v>
      </c>
    </row>
    <row r="21" spans="1:11" x14ac:dyDescent="0.45">
      <c r="A21" s="1">
        <v>44078</v>
      </c>
      <c r="B21" s="2" t="str">
        <f t="shared" si="0"/>
        <v>DG0000000020</v>
      </c>
      <c r="C21">
        <v>11</v>
      </c>
      <c r="D21" t="s">
        <v>12</v>
      </c>
      <c r="E21">
        <v>900000</v>
      </c>
      <c r="F21">
        <v>882000</v>
      </c>
      <c r="G21">
        <v>5.91</v>
      </c>
      <c r="H21">
        <v>52126.200000000004</v>
      </c>
      <c r="I21">
        <v>5264746.2</v>
      </c>
      <c r="J21">
        <v>106380</v>
      </c>
      <c r="K21">
        <v>54253.799999999996</v>
      </c>
    </row>
    <row r="22" spans="1:11" x14ac:dyDescent="0.45">
      <c r="A22" s="1">
        <v>44123</v>
      </c>
      <c r="B22" s="2" t="str">
        <f t="shared" si="0"/>
        <v>DG0000000021</v>
      </c>
      <c r="C22">
        <v>10</v>
      </c>
      <c r="D22" t="s">
        <v>13</v>
      </c>
      <c r="E22">
        <v>900000</v>
      </c>
      <c r="F22">
        <v>918000</v>
      </c>
      <c r="G22">
        <v>2.5299999999999998</v>
      </c>
      <c r="H22">
        <v>23225.4</v>
      </c>
      <c r="I22">
        <v>2345765.4</v>
      </c>
      <c r="J22">
        <v>45540</v>
      </c>
      <c r="K22">
        <v>22314.6</v>
      </c>
    </row>
    <row r="23" spans="1:11" x14ac:dyDescent="0.45">
      <c r="A23" s="1">
        <v>44181</v>
      </c>
      <c r="B23" s="2" t="str">
        <f t="shared" si="0"/>
        <v>DG0000000022</v>
      </c>
      <c r="C23">
        <v>6</v>
      </c>
      <c r="D23" t="s">
        <v>12</v>
      </c>
      <c r="E23">
        <v>900000</v>
      </c>
      <c r="F23">
        <v>882000</v>
      </c>
      <c r="G23">
        <v>2.0499999999999998</v>
      </c>
      <c r="H23">
        <v>18080.999999999996</v>
      </c>
      <c r="I23">
        <v>1826180.9999999998</v>
      </c>
      <c r="J23">
        <v>36900</v>
      </c>
      <c r="K23">
        <v>18819.000000000004</v>
      </c>
    </row>
    <row r="24" spans="1:11" x14ac:dyDescent="0.45">
      <c r="A24" s="1">
        <v>44189</v>
      </c>
      <c r="B24" s="2" t="str">
        <f t="shared" si="0"/>
        <v>DG0000000023</v>
      </c>
      <c r="C24">
        <v>15</v>
      </c>
      <c r="D24" t="s">
        <v>12</v>
      </c>
      <c r="E24">
        <v>900000</v>
      </c>
      <c r="F24">
        <v>882000</v>
      </c>
      <c r="G24">
        <v>7.29</v>
      </c>
      <c r="H24">
        <v>64297.8</v>
      </c>
      <c r="I24">
        <v>6494077.7999999998</v>
      </c>
      <c r="J24">
        <v>131220</v>
      </c>
      <c r="K24">
        <v>66922.2</v>
      </c>
    </row>
    <row r="25" spans="1:11" x14ac:dyDescent="0.45">
      <c r="A25" s="1">
        <v>44201</v>
      </c>
      <c r="B25" s="2" t="str">
        <f t="shared" si="0"/>
        <v>DG0000000024</v>
      </c>
      <c r="C25">
        <v>38</v>
      </c>
      <c r="D25" t="s">
        <v>13</v>
      </c>
      <c r="E25">
        <v>950000</v>
      </c>
      <c r="F25">
        <v>969000</v>
      </c>
      <c r="G25">
        <v>4.16</v>
      </c>
      <c r="H25">
        <v>40310.400000000001</v>
      </c>
      <c r="I25">
        <v>4071350.4</v>
      </c>
      <c r="J25">
        <v>79040</v>
      </c>
      <c r="K25">
        <v>38729.599999999999</v>
      </c>
    </row>
    <row r="26" spans="1:11" x14ac:dyDescent="0.45">
      <c r="A26" s="1">
        <v>44202</v>
      </c>
      <c r="B26" s="2" t="str">
        <f t="shared" si="0"/>
        <v>DG0000000025</v>
      </c>
      <c r="C26">
        <v>39</v>
      </c>
      <c r="D26" t="s">
        <v>13</v>
      </c>
      <c r="E26">
        <v>950000</v>
      </c>
      <c r="F26">
        <v>969000</v>
      </c>
      <c r="G26">
        <v>9.18</v>
      </c>
      <c r="H26">
        <v>88954.2</v>
      </c>
      <c r="I26">
        <v>8984374.1999999993</v>
      </c>
      <c r="J26">
        <v>174420</v>
      </c>
      <c r="K26">
        <v>85465.8</v>
      </c>
    </row>
    <row r="27" spans="1:11" x14ac:dyDescent="0.45">
      <c r="A27" s="1">
        <v>44219</v>
      </c>
      <c r="B27" s="2" t="str">
        <f t="shared" si="0"/>
        <v>DG0000000026</v>
      </c>
      <c r="C27">
        <v>38</v>
      </c>
      <c r="D27" t="s">
        <v>12</v>
      </c>
      <c r="E27">
        <v>950000</v>
      </c>
      <c r="F27">
        <v>931000</v>
      </c>
      <c r="G27">
        <v>0.35</v>
      </c>
      <c r="H27">
        <v>3258.5</v>
      </c>
      <c r="I27">
        <v>329108.5</v>
      </c>
      <c r="J27">
        <v>6650</v>
      </c>
      <c r="K27">
        <v>3391.5</v>
      </c>
    </row>
    <row r="28" spans="1:11" x14ac:dyDescent="0.45">
      <c r="A28" s="1">
        <v>44234</v>
      </c>
      <c r="B28" s="2" t="str">
        <f t="shared" si="0"/>
        <v>DG0000000027</v>
      </c>
      <c r="C28">
        <v>23</v>
      </c>
      <c r="D28" t="s">
        <v>13</v>
      </c>
      <c r="E28">
        <v>950000</v>
      </c>
      <c r="F28">
        <v>969000</v>
      </c>
      <c r="G28">
        <v>5.41</v>
      </c>
      <c r="H28">
        <v>52422.9</v>
      </c>
      <c r="I28">
        <v>5294712.9000000004</v>
      </c>
      <c r="J28">
        <v>102790</v>
      </c>
      <c r="K28">
        <v>50367.1</v>
      </c>
    </row>
    <row r="29" spans="1:11" x14ac:dyDescent="0.45">
      <c r="A29" s="1">
        <v>44236</v>
      </c>
      <c r="B29" s="2" t="str">
        <f t="shared" si="0"/>
        <v>DG0000000028</v>
      </c>
      <c r="C29">
        <v>11</v>
      </c>
      <c r="D29" t="s">
        <v>13</v>
      </c>
      <c r="E29">
        <v>950000</v>
      </c>
      <c r="F29">
        <v>969000</v>
      </c>
      <c r="G29">
        <v>9.5500000000000007</v>
      </c>
      <c r="H29">
        <v>92539.5</v>
      </c>
      <c r="I29">
        <v>9346489.5</v>
      </c>
      <c r="J29">
        <v>181450</v>
      </c>
      <c r="K29">
        <v>88910.5</v>
      </c>
    </row>
    <row r="30" spans="1:11" x14ac:dyDescent="0.45">
      <c r="A30" s="1">
        <v>44258</v>
      </c>
      <c r="B30" s="2" t="str">
        <f t="shared" si="0"/>
        <v>DG0000000029</v>
      </c>
      <c r="C30">
        <v>13</v>
      </c>
      <c r="D30" t="s">
        <v>13</v>
      </c>
      <c r="E30">
        <v>950000</v>
      </c>
      <c r="F30">
        <v>969000</v>
      </c>
      <c r="G30">
        <v>8.14</v>
      </c>
      <c r="H30">
        <v>78876.600000000006</v>
      </c>
      <c r="I30">
        <v>7966536.6000000006</v>
      </c>
      <c r="J30">
        <v>154660</v>
      </c>
      <c r="K30">
        <v>75783.399999999994</v>
      </c>
    </row>
    <row r="31" spans="1:11" x14ac:dyDescent="0.45">
      <c r="A31" s="1">
        <v>44258</v>
      </c>
      <c r="B31" s="2" t="str">
        <f t="shared" si="0"/>
        <v>DG0000000030</v>
      </c>
      <c r="C31">
        <v>7</v>
      </c>
      <c r="D31" t="s">
        <v>12</v>
      </c>
      <c r="E31">
        <v>950000</v>
      </c>
      <c r="F31">
        <v>931000</v>
      </c>
      <c r="G31">
        <v>7.73</v>
      </c>
      <c r="H31">
        <v>71966.3</v>
      </c>
      <c r="I31">
        <v>7268596.2999999998</v>
      </c>
      <c r="J31">
        <v>146870</v>
      </c>
      <c r="K31">
        <v>74903.7</v>
      </c>
    </row>
    <row r="32" spans="1:11" x14ac:dyDescent="0.45">
      <c r="A32" s="1">
        <v>44273</v>
      </c>
      <c r="B32" s="2" t="str">
        <f t="shared" si="0"/>
        <v>DG0000000031</v>
      </c>
      <c r="C32">
        <v>45</v>
      </c>
      <c r="D32" t="s">
        <v>13</v>
      </c>
      <c r="E32">
        <v>950000</v>
      </c>
      <c r="F32">
        <v>969000</v>
      </c>
      <c r="G32">
        <v>2.2200000000000002</v>
      </c>
      <c r="H32">
        <v>21511.8</v>
      </c>
      <c r="I32">
        <v>2172691.7999999998</v>
      </c>
      <c r="J32">
        <v>42180.000000000007</v>
      </c>
      <c r="K32">
        <v>20668.200000000008</v>
      </c>
    </row>
    <row r="33" spans="1:11" x14ac:dyDescent="0.45">
      <c r="A33" s="1">
        <v>44319</v>
      </c>
      <c r="B33" s="2" t="str">
        <f t="shared" si="0"/>
        <v>DG0000000032</v>
      </c>
      <c r="C33">
        <v>43</v>
      </c>
      <c r="D33" t="s">
        <v>12</v>
      </c>
      <c r="E33">
        <v>950000</v>
      </c>
      <c r="F33">
        <v>931000</v>
      </c>
      <c r="G33">
        <v>3.83</v>
      </c>
      <c r="H33">
        <v>35657.300000000003</v>
      </c>
      <c r="I33">
        <v>3601387.3</v>
      </c>
      <c r="J33">
        <v>72770</v>
      </c>
      <c r="K33">
        <v>37112.699999999997</v>
      </c>
    </row>
    <row r="34" spans="1:11" x14ac:dyDescent="0.45">
      <c r="A34" s="1">
        <v>44326</v>
      </c>
      <c r="B34" s="2" t="str">
        <f t="shared" si="0"/>
        <v>DG0000000033</v>
      </c>
      <c r="C34">
        <v>40</v>
      </c>
      <c r="D34" t="s">
        <v>12</v>
      </c>
      <c r="E34">
        <v>950000</v>
      </c>
      <c r="F34">
        <v>931000</v>
      </c>
      <c r="G34">
        <v>1.51</v>
      </c>
      <c r="H34">
        <v>14058.1</v>
      </c>
      <c r="I34">
        <v>1419868.1</v>
      </c>
      <c r="J34">
        <v>28690</v>
      </c>
      <c r="K34">
        <v>14631.9</v>
      </c>
    </row>
    <row r="35" spans="1:11" x14ac:dyDescent="0.45">
      <c r="A35" s="1">
        <v>44359</v>
      </c>
      <c r="B35" s="2" t="str">
        <f t="shared" si="0"/>
        <v>DG0000000034</v>
      </c>
      <c r="C35">
        <v>9</v>
      </c>
      <c r="D35" t="s">
        <v>12</v>
      </c>
      <c r="E35">
        <v>950000</v>
      </c>
      <c r="F35">
        <v>931000</v>
      </c>
      <c r="G35">
        <v>0.25</v>
      </c>
      <c r="H35">
        <v>2327.5</v>
      </c>
      <c r="I35">
        <v>235077.5</v>
      </c>
      <c r="J35">
        <v>4750</v>
      </c>
      <c r="K35">
        <v>2422.5</v>
      </c>
    </row>
    <row r="36" spans="1:11" x14ac:dyDescent="0.45">
      <c r="A36" s="1">
        <v>44379</v>
      </c>
      <c r="B36" s="2" t="str">
        <f t="shared" si="0"/>
        <v>DG0000000035</v>
      </c>
      <c r="C36">
        <v>34</v>
      </c>
      <c r="D36" t="s">
        <v>13</v>
      </c>
      <c r="E36">
        <v>950000</v>
      </c>
      <c r="F36">
        <v>969000</v>
      </c>
      <c r="G36">
        <v>4.71</v>
      </c>
      <c r="H36">
        <v>45639.9</v>
      </c>
      <c r="I36">
        <v>4609629.9000000004</v>
      </c>
      <c r="J36">
        <v>89490</v>
      </c>
      <c r="K36">
        <v>43850.1</v>
      </c>
    </row>
    <row r="37" spans="1:11" x14ac:dyDescent="0.45">
      <c r="A37" s="1">
        <v>44380</v>
      </c>
      <c r="B37" s="2" t="str">
        <f t="shared" si="0"/>
        <v>DG0000000036</v>
      </c>
      <c r="C37">
        <v>49</v>
      </c>
      <c r="D37" t="s">
        <v>12</v>
      </c>
      <c r="E37">
        <v>950000</v>
      </c>
      <c r="F37">
        <v>931000</v>
      </c>
      <c r="G37">
        <v>7.18</v>
      </c>
      <c r="H37">
        <v>66845.8</v>
      </c>
      <c r="I37">
        <v>6751425.7999999998</v>
      </c>
      <c r="J37">
        <v>136420</v>
      </c>
      <c r="K37">
        <v>69574.2</v>
      </c>
    </row>
    <row r="38" spans="1:11" x14ac:dyDescent="0.45">
      <c r="A38" s="1">
        <v>44387</v>
      </c>
      <c r="B38" s="2" t="str">
        <f t="shared" si="0"/>
        <v>DG0000000037</v>
      </c>
      <c r="C38">
        <v>4</v>
      </c>
      <c r="D38" t="s">
        <v>13</v>
      </c>
      <c r="E38">
        <v>950000</v>
      </c>
      <c r="F38">
        <v>969000</v>
      </c>
      <c r="G38">
        <v>2.74</v>
      </c>
      <c r="H38">
        <v>26550.600000000002</v>
      </c>
      <c r="I38">
        <v>2681610.6</v>
      </c>
      <c r="J38">
        <v>52060.000000000007</v>
      </c>
      <c r="K38">
        <v>25509.400000000005</v>
      </c>
    </row>
    <row r="39" spans="1:11" x14ac:dyDescent="0.45">
      <c r="A39" s="1">
        <v>44394</v>
      </c>
      <c r="B39" s="2" t="str">
        <f t="shared" si="0"/>
        <v>DG0000000038</v>
      </c>
      <c r="C39">
        <v>41</v>
      </c>
      <c r="D39" t="s">
        <v>12</v>
      </c>
      <c r="E39">
        <v>950000</v>
      </c>
      <c r="F39">
        <v>931000</v>
      </c>
      <c r="G39">
        <v>0.16</v>
      </c>
      <c r="H39">
        <v>1489.6000000000001</v>
      </c>
      <c r="I39">
        <v>150449.60000000001</v>
      </c>
      <c r="J39">
        <v>3040</v>
      </c>
      <c r="K39">
        <v>1550.3999999999999</v>
      </c>
    </row>
    <row r="40" spans="1:11" x14ac:dyDescent="0.45">
      <c r="A40" s="1">
        <v>44425</v>
      </c>
      <c r="B40" s="2" t="str">
        <f t="shared" si="0"/>
        <v>DG0000000039</v>
      </c>
      <c r="C40">
        <v>15</v>
      </c>
      <c r="D40" t="s">
        <v>13</v>
      </c>
      <c r="E40">
        <v>950000</v>
      </c>
      <c r="F40">
        <v>969000</v>
      </c>
      <c r="G40">
        <v>1.19</v>
      </c>
      <c r="H40">
        <v>11531.1</v>
      </c>
      <c r="I40">
        <v>1164641.1000000001</v>
      </c>
      <c r="J40">
        <v>22610</v>
      </c>
      <c r="K40">
        <v>11078.9</v>
      </c>
    </row>
    <row r="41" spans="1:11" x14ac:dyDescent="0.45">
      <c r="A41" s="1">
        <v>44454</v>
      </c>
      <c r="B41" s="2" t="str">
        <f t="shared" si="0"/>
        <v>DG0000000040</v>
      </c>
      <c r="C41">
        <v>23</v>
      </c>
      <c r="D41" t="s">
        <v>13</v>
      </c>
      <c r="E41">
        <v>950000</v>
      </c>
      <c r="F41">
        <v>969000</v>
      </c>
      <c r="G41">
        <v>6.44</v>
      </c>
      <c r="H41">
        <v>62403.6</v>
      </c>
      <c r="I41">
        <v>6302763.5999999996</v>
      </c>
      <c r="J41">
        <v>122360.00000000001</v>
      </c>
      <c r="K41">
        <v>59956.400000000016</v>
      </c>
    </row>
    <row r="42" spans="1:11" x14ac:dyDescent="0.45">
      <c r="A42" s="1">
        <v>44457</v>
      </c>
      <c r="B42" s="2" t="str">
        <f t="shared" si="0"/>
        <v>DG0000000041</v>
      </c>
      <c r="C42">
        <v>29</v>
      </c>
      <c r="D42" t="s">
        <v>13</v>
      </c>
      <c r="E42">
        <v>950000</v>
      </c>
      <c r="F42">
        <v>969000</v>
      </c>
      <c r="G42">
        <v>0.08</v>
      </c>
      <c r="H42">
        <v>775.2</v>
      </c>
      <c r="I42">
        <v>78295.199999999997</v>
      </c>
      <c r="J42">
        <v>1520</v>
      </c>
      <c r="K42">
        <v>744.8</v>
      </c>
    </row>
    <row r="43" spans="1:11" x14ac:dyDescent="0.45">
      <c r="A43" s="1">
        <v>44530</v>
      </c>
      <c r="B43" s="2" t="str">
        <f t="shared" si="0"/>
        <v>DG0000000042</v>
      </c>
      <c r="C43">
        <v>41</v>
      </c>
      <c r="D43" t="s">
        <v>12</v>
      </c>
      <c r="E43">
        <v>950000</v>
      </c>
      <c r="F43">
        <v>931000</v>
      </c>
      <c r="G43">
        <v>7.52</v>
      </c>
      <c r="H43">
        <v>70011.199999999997</v>
      </c>
      <c r="I43">
        <v>7071131.2000000002</v>
      </c>
      <c r="J43">
        <v>142880</v>
      </c>
      <c r="K43">
        <v>72868.800000000003</v>
      </c>
    </row>
    <row r="44" spans="1:11" x14ac:dyDescent="0.45">
      <c r="A44" s="1">
        <v>44534</v>
      </c>
      <c r="B44" s="2" t="str">
        <f t="shared" si="0"/>
        <v>DG0000000043</v>
      </c>
      <c r="C44">
        <v>22</v>
      </c>
      <c r="D44" t="s">
        <v>13</v>
      </c>
      <c r="E44">
        <v>950000</v>
      </c>
      <c r="F44">
        <v>969000</v>
      </c>
      <c r="G44">
        <v>6.52</v>
      </c>
      <c r="H44">
        <v>63178.8</v>
      </c>
      <c r="I44">
        <v>6381058.7999999998</v>
      </c>
      <c r="J44">
        <v>123879.99999999999</v>
      </c>
      <c r="K44">
        <v>60701.199999999983</v>
      </c>
    </row>
    <row r="45" spans="1:11" x14ac:dyDescent="0.45">
      <c r="A45" s="1">
        <v>44549</v>
      </c>
      <c r="B45" s="2" t="str">
        <f t="shared" si="0"/>
        <v>DG0000000044</v>
      </c>
      <c r="C45">
        <v>37</v>
      </c>
      <c r="D45" t="s">
        <v>12</v>
      </c>
      <c r="E45">
        <v>950000</v>
      </c>
      <c r="F45">
        <v>931000</v>
      </c>
      <c r="G45">
        <v>5.85</v>
      </c>
      <c r="H45">
        <v>54463.5</v>
      </c>
      <c r="I45">
        <v>5500813.5</v>
      </c>
      <c r="J45">
        <v>111150</v>
      </c>
      <c r="K45">
        <v>56686.5</v>
      </c>
    </row>
    <row r="46" spans="1:11" x14ac:dyDescent="0.45">
      <c r="A46" s="1">
        <v>44550</v>
      </c>
      <c r="B46" s="2" t="str">
        <f t="shared" si="0"/>
        <v>DG0000000045</v>
      </c>
      <c r="C46">
        <v>37</v>
      </c>
      <c r="D46" t="s">
        <v>12</v>
      </c>
      <c r="E46">
        <v>950000</v>
      </c>
      <c r="F46">
        <v>931000</v>
      </c>
      <c r="G46">
        <v>5.27</v>
      </c>
      <c r="H46">
        <v>49063.700000000004</v>
      </c>
      <c r="I46">
        <v>4955433.7</v>
      </c>
      <c r="J46">
        <v>100129.99999999999</v>
      </c>
      <c r="K46">
        <v>51066.299999999981</v>
      </c>
    </row>
    <row r="47" spans="1:11" x14ac:dyDescent="0.45">
      <c r="A47" s="1">
        <v>44559</v>
      </c>
      <c r="B47" s="2" t="str">
        <f t="shared" si="0"/>
        <v>DG0000000046</v>
      </c>
      <c r="C47">
        <v>26</v>
      </c>
      <c r="D47" t="s">
        <v>13</v>
      </c>
      <c r="E47">
        <v>950000</v>
      </c>
      <c r="F47">
        <v>969000</v>
      </c>
      <c r="G47">
        <v>8.35</v>
      </c>
      <c r="H47">
        <v>80911.5</v>
      </c>
      <c r="I47">
        <v>8172061.5</v>
      </c>
      <c r="J47">
        <v>158650</v>
      </c>
      <c r="K47">
        <v>77738.5</v>
      </c>
    </row>
    <row r="48" spans="1:11" x14ac:dyDescent="0.45">
      <c r="A48" s="1">
        <v>44571</v>
      </c>
      <c r="B48" s="2" t="str">
        <f t="shared" si="0"/>
        <v>DG0000000047</v>
      </c>
      <c r="C48">
        <v>25</v>
      </c>
      <c r="D48" t="s">
        <v>13</v>
      </c>
      <c r="E48">
        <v>1050000</v>
      </c>
      <c r="F48">
        <v>1071000</v>
      </c>
      <c r="G48">
        <v>0.69</v>
      </c>
      <c r="H48">
        <v>7389.9000000000005</v>
      </c>
      <c r="I48">
        <v>746379.9</v>
      </c>
      <c r="J48">
        <v>14489.999999999998</v>
      </c>
      <c r="K48">
        <v>7100.0999999999976</v>
      </c>
    </row>
    <row r="49" spans="1:11" x14ac:dyDescent="0.45">
      <c r="A49" s="1">
        <v>44617</v>
      </c>
      <c r="B49" s="2" t="str">
        <f t="shared" si="0"/>
        <v>DG0000000048</v>
      </c>
      <c r="C49">
        <v>38</v>
      </c>
      <c r="D49" t="s">
        <v>13</v>
      </c>
      <c r="E49">
        <v>1050000</v>
      </c>
      <c r="F49">
        <v>1071000</v>
      </c>
      <c r="G49">
        <v>9.4600000000000009</v>
      </c>
      <c r="H49">
        <v>101316.6</v>
      </c>
      <c r="I49">
        <v>10232976.6</v>
      </c>
      <c r="J49">
        <v>198660.00000000003</v>
      </c>
      <c r="K49">
        <v>97343.400000000023</v>
      </c>
    </row>
    <row r="50" spans="1:11" x14ac:dyDescent="0.45">
      <c r="A50" s="1">
        <v>44683</v>
      </c>
      <c r="B50" s="2" t="str">
        <f t="shared" si="0"/>
        <v>DG0000000049</v>
      </c>
      <c r="C50">
        <v>39</v>
      </c>
      <c r="D50" t="s">
        <v>13</v>
      </c>
      <c r="E50">
        <v>1050000</v>
      </c>
      <c r="F50">
        <v>1071000</v>
      </c>
      <c r="G50">
        <v>6.25</v>
      </c>
      <c r="H50">
        <v>66937.5</v>
      </c>
      <c r="I50">
        <v>6760687.5</v>
      </c>
      <c r="J50">
        <v>131250</v>
      </c>
      <c r="K50">
        <v>64312.5</v>
      </c>
    </row>
    <row r="51" spans="1:11" x14ac:dyDescent="0.45">
      <c r="A51" s="1">
        <v>44728</v>
      </c>
      <c r="B51" s="2" t="str">
        <f t="shared" si="0"/>
        <v>DG0000000050</v>
      </c>
      <c r="C51">
        <v>13</v>
      </c>
      <c r="D51" t="s">
        <v>13</v>
      </c>
      <c r="E51">
        <v>1050000</v>
      </c>
      <c r="F51">
        <v>1071000</v>
      </c>
      <c r="G51">
        <v>2.6</v>
      </c>
      <c r="H51">
        <v>27846</v>
      </c>
      <c r="I51">
        <v>2812446</v>
      </c>
      <c r="J51">
        <v>54600</v>
      </c>
      <c r="K51">
        <v>26754</v>
      </c>
    </row>
    <row r="52" spans="1:11" x14ac:dyDescent="0.45">
      <c r="A52" s="1">
        <v>44729</v>
      </c>
      <c r="B52" s="2" t="str">
        <f t="shared" si="0"/>
        <v>DG0000000051</v>
      </c>
      <c r="C52">
        <v>5</v>
      </c>
      <c r="D52" t="s">
        <v>12</v>
      </c>
      <c r="E52">
        <v>1050000</v>
      </c>
      <c r="F52">
        <v>1029000</v>
      </c>
      <c r="G52">
        <v>0.48</v>
      </c>
      <c r="H52">
        <v>4939.2</v>
      </c>
      <c r="I52">
        <v>498859.2</v>
      </c>
      <c r="J52">
        <v>10080</v>
      </c>
      <c r="K52">
        <v>5140.8</v>
      </c>
    </row>
    <row r="53" spans="1:11" x14ac:dyDescent="0.45">
      <c r="A53" s="1">
        <v>44741</v>
      </c>
      <c r="B53" s="2" t="str">
        <f t="shared" si="0"/>
        <v>DG0000000052</v>
      </c>
      <c r="C53">
        <v>12</v>
      </c>
      <c r="D53" t="s">
        <v>13</v>
      </c>
      <c r="E53">
        <v>1050000</v>
      </c>
      <c r="F53">
        <v>1071000</v>
      </c>
      <c r="G53">
        <v>4.9000000000000004</v>
      </c>
      <c r="H53">
        <v>52479</v>
      </c>
      <c r="I53">
        <v>5300379</v>
      </c>
      <c r="J53">
        <v>102900.00000000001</v>
      </c>
      <c r="K53">
        <v>50421.000000000015</v>
      </c>
    </row>
    <row r="54" spans="1:11" x14ac:dyDescent="0.45">
      <c r="A54" s="1">
        <v>44758</v>
      </c>
      <c r="B54" s="2" t="str">
        <f t="shared" si="0"/>
        <v>DG0000000053</v>
      </c>
      <c r="C54">
        <v>26</v>
      </c>
      <c r="D54" t="s">
        <v>12</v>
      </c>
      <c r="E54">
        <v>1050000</v>
      </c>
      <c r="F54">
        <v>1029000</v>
      </c>
      <c r="G54">
        <v>1.82</v>
      </c>
      <c r="H54">
        <v>18727.8</v>
      </c>
      <c r="I54">
        <v>1891507.8</v>
      </c>
      <c r="J54">
        <v>38220</v>
      </c>
      <c r="K54">
        <v>19492.2</v>
      </c>
    </row>
    <row r="55" spans="1:11" x14ac:dyDescent="0.45">
      <c r="A55" s="1">
        <v>44773</v>
      </c>
      <c r="B55" s="2" t="str">
        <f t="shared" si="0"/>
        <v>DG0000000054</v>
      </c>
      <c r="C55">
        <v>17</v>
      </c>
      <c r="D55" t="s">
        <v>12</v>
      </c>
      <c r="E55">
        <v>1050000</v>
      </c>
      <c r="F55">
        <v>1029000</v>
      </c>
      <c r="G55">
        <v>7.52</v>
      </c>
      <c r="H55">
        <v>77380.800000000003</v>
      </c>
      <c r="I55">
        <v>7815460.7999999998</v>
      </c>
      <c r="J55">
        <v>157920</v>
      </c>
      <c r="K55">
        <v>80539.199999999997</v>
      </c>
    </row>
    <row r="56" spans="1:11" x14ac:dyDescent="0.45">
      <c r="A56" s="1">
        <v>44782</v>
      </c>
      <c r="B56" s="2" t="str">
        <f t="shared" si="0"/>
        <v>DG0000000055</v>
      </c>
      <c r="C56">
        <v>11</v>
      </c>
      <c r="D56" t="s">
        <v>13</v>
      </c>
      <c r="E56">
        <v>1050000</v>
      </c>
      <c r="F56">
        <v>1071000</v>
      </c>
      <c r="G56">
        <v>8.69</v>
      </c>
      <c r="H56">
        <v>93069.900000000009</v>
      </c>
      <c r="I56">
        <v>9400059.9000000004</v>
      </c>
      <c r="J56">
        <v>182490</v>
      </c>
      <c r="K56">
        <v>89420.099999999991</v>
      </c>
    </row>
    <row r="57" spans="1:11" x14ac:dyDescent="0.45">
      <c r="A57" s="1">
        <v>44811</v>
      </c>
      <c r="B57" s="2" t="str">
        <f t="shared" si="0"/>
        <v>DG0000000056</v>
      </c>
      <c r="C57">
        <v>36</v>
      </c>
      <c r="D57" t="s">
        <v>13</v>
      </c>
      <c r="E57">
        <v>1050000</v>
      </c>
      <c r="F57">
        <v>1071000</v>
      </c>
      <c r="G57">
        <v>0.92</v>
      </c>
      <c r="H57">
        <v>9853.2000000000007</v>
      </c>
      <c r="I57">
        <v>995173.2</v>
      </c>
      <c r="J57">
        <v>19320</v>
      </c>
      <c r="K57">
        <v>9466.7999999999993</v>
      </c>
    </row>
    <row r="58" spans="1:11" x14ac:dyDescent="0.45">
      <c r="A58" s="1">
        <v>44818</v>
      </c>
      <c r="B58" s="2" t="str">
        <f t="shared" si="0"/>
        <v>DG0000000057</v>
      </c>
      <c r="C58">
        <v>4</v>
      </c>
      <c r="D58" t="s">
        <v>13</v>
      </c>
      <c r="E58">
        <v>1050000</v>
      </c>
      <c r="F58">
        <v>1071000</v>
      </c>
      <c r="G58">
        <v>7.02</v>
      </c>
      <c r="H58">
        <v>75184.2</v>
      </c>
      <c r="I58">
        <v>7593604.2000000002</v>
      </c>
      <c r="J58">
        <v>147420</v>
      </c>
      <c r="K58">
        <v>72235.8</v>
      </c>
    </row>
    <row r="59" spans="1:11" x14ac:dyDescent="0.45">
      <c r="A59" s="1">
        <v>44825</v>
      </c>
      <c r="B59" s="2" t="str">
        <f t="shared" si="0"/>
        <v>DG0000000058</v>
      </c>
      <c r="C59">
        <v>2</v>
      </c>
      <c r="D59" t="s">
        <v>12</v>
      </c>
      <c r="E59">
        <v>1050000</v>
      </c>
      <c r="F59">
        <v>1029000</v>
      </c>
      <c r="G59">
        <v>3.11</v>
      </c>
      <c r="H59">
        <v>32001.9</v>
      </c>
      <c r="I59">
        <v>3232191.9</v>
      </c>
      <c r="J59">
        <v>65310</v>
      </c>
      <c r="K59">
        <v>33308.1</v>
      </c>
    </row>
    <row r="60" spans="1:11" x14ac:dyDescent="0.45">
      <c r="A60" s="1">
        <v>44829</v>
      </c>
      <c r="B60" s="2" t="str">
        <f t="shared" si="0"/>
        <v>DG0000000059</v>
      </c>
      <c r="C60">
        <v>10</v>
      </c>
      <c r="D60" t="s">
        <v>12</v>
      </c>
      <c r="E60">
        <v>1050000</v>
      </c>
      <c r="F60">
        <v>1029000</v>
      </c>
      <c r="G60">
        <v>0.36</v>
      </c>
      <c r="H60">
        <v>3704.4</v>
      </c>
      <c r="I60">
        <v>374144.4</v>
      </c>
      <c r="J60">
        <v>7560</v>
      </c>
      <c r="K60">
        <v>3855.6</v>
      </c>
    </row>
    <row r="61" spans="1:11" x14ac:dyDescent="0.45">
      <c r="A61" s="1">
        <v>44850</v>
      </c>
      <c r="B61" s="2" t="str">
        <f t="shared" si="0"/>
        <v>DG0000000060</v>
      </c>
      <c r="C61">
        <v>33</v>
      </c>
      <c r="D61" t="s">
        <v>12</v>
      </c>
      <c r="E61">
        <v>1050000</v>
      </c>
      <c r="F61">
        <v>1029000</v>
      </c>
      <c r="G61">
        <v>4.42</v>
      </c>
      <c r="H61">
        <v>45481.8</v>
      </c>
      <c r="I61">
        <v>4593661.8</v>
      </c>
      <c r="J61">
        <v>92820</v>
      </c>
      <c r="K61">
        <v>47338.2</v>
      </c>
    </row>
    <row r="62" spans="1:11" x14ac:dyDescent="0.45">
      <c r="A62" s="1">
        <v>44878</v>
      </c>
      <c r="B62" s="2" t="str">
        <f t="shared" si="0"/>
        <v>DG0000000061</v>
      </c>
      <c r="C62">
        <v>13</v>
      </c>
      <c r="D62" t="s">
        <v>13</v>
      </c>
      <c r="E62">
        <v>1050000</v>
      </c>
      <c r="F62">
        <v>1071000</v>
      </c>
      <c r="G62">
        <v>6.72</v>
      </c>
      <c r="H62">
        <v>71971.199999999997</v>
      </c>
      <c r="I62">
        <v>7269091.2000000002</v>
      </c>
      <c r="J62">
        <v>141120</v>
      </c>
      <c r="K62">
        <v>69148.800000000003</v>
      </c>
    </row>
    <row r="63" spans="1:11" x14ac:dyDescent="0.45">
      <c r="A63" s="1">
        <v>44884</v>
      </c>
      <c r="B63" s="2" t="str">
        <f t="shared" si="0"/>
        <v>DG0000000062</v>
      </c>
      <c r="C63">
        <v>24</v>
      </c>
      <c r="D63" t="s">
        <v>13</v>
      </c>
      <c r="E63">
        <v>1050000</v>
      </c>
      <c r="F63">
        <v>1071000</v>
      </c>
      <c r="G63">
        <v>2.21</v>
      </c>
      <c r="H63">
        <v>23669.100000000002</v>
      </c>
      <c r="I63">
        <v>2390579.1</v>
      </c>
      <c r="J63">
        <v>46410</v>
      </c>
      <c r="K63">
        <v>22740.899999999998</v>
      </c>
    </row>
    <row r="64" spans="1:11" x14ac:dyDescent="0.45">
      <c r="A64" s="1">
        <v>44891</v>
      </c>
      <c r="B64" s="2" t="str">
        <f t="shared" si="0"/>
        <v>DG0000000063</v>
      </c>
      <c r="C64">
        <v>30</v>
      </c>
      <c r="D64" t="s">
        <v>13</v>
      </c>
      <c r="E64">
        <v>1050000</v>
      </c>
      <c r="F64">
        <v>1071000</v>
      </c>
      <c r="G64">
        <v>4.05</v>
      </c>
      <c r="H64">
        <v>43375.5</v>
      </c>
      <c r="I64">
        <v>4380925.5</v>
      </c>
      <c r="J64">
        <v>85050</v>
      </c>
      <c r="K64">
        <v>41674.5</v>
      </c>
    </row>
    <row r="65" spans="1:11" x14ac:dyDescent="0.45">
      <c r="A65" s="1">
        <v>44894</v>
      </c>
      <c r="B65" s="2" t="str">
        <f t="shared" si="0"/>
        <v>DG0000000064</v>
      </c>
      <c r="C65">
        <v>11</v>
      </c>
      <c r="D65" t="s">
        <v>13</v>
      </c>
      <c r="E65">
        <v>1050000</v>
      </c>
      <c r="F65">
        <v>1071000</v>
      </c>
      <c r="G65">
        <v>3.05</v>
      </c>
      <c r="H65">
        <v>32665.5</v>
      </c>
      <c r="I65">
        <v>3299215.5</v>
      </c>
      <c r="J65">
        <v>64049.999999999993</v>
      </c>
      <c r="K65">
        <v>31384.499999999993</v>
      </c>
    </row>
    <row r="66" spans="1:11" x14ac:dyDescent="0.45">
      <c r="A66" s="1">
        <v>44948</v>
      </c>
      <c r="B66" s="2" t="str">
        <f t="shared" si="0"/>
        <v>DG0000000065</v>
      </c>
      <c r="C66">
        <v>42</v>
      </c>
      <c r="D66" t="s">
        <v>13</v>
      </c>
      <c r="E66">
        <v>1150000</v>
      </c>
      <c r="F66">
        <v>1173000</v>
      </c>
      <c r="G66">
        <v>5.81</v>
      </c>
      <c r="H66">
        <v>68151.3</v>
      </c>
      <c r="I66">
        <v>6883281.2999999998</v>
      </c>
      <c r="J66">
        <v>133630</v>
      </c>
      <c r="K66">
        <v>65478.7</v>
      </c>
    </row>
    <row r="67" spans="1:11" x14ac:dyDescent="0.45">
      <c r="A67" s="1">
        <v>44952</v>
      </c>
      <c r="B67" s="2" t="str">
        <f t="shared" ref="B67:B101" si="1">"DG"&amp;TEXT(ROW(A66), "0000000000")</f>
        <v>DG0000000066</v>
      </c>
      <c r="C67">
        <v>44</v>
      </c>
      <c r="D67" t="s">
        <v>12</v>
      </c>
      <c r="E67">
        <v>1150000</v>
      </c>
      <c r="F67">
        <v>1127000</v>
      </c>
      <c r="G67">
        <v>0.01</v>
      </c>
      <c r="H67">
        <v>112.7</v>
      </c>
      <c r="I67">
        <v>11382.7</v>
      </c>
      <c r="J67">
        <v>230</v>
      </c>
      <c r="K67">
        <v>117.3</v>
      </c>
    </row>
    <row r="68" spans="1:11" x14ac:dyDescent="0.45">
      <c r="A68" s="1">
        <v>44963</v>
      </c>
      <c r="B68" s="2" t="str">
        <f t="shared" si="1"/>
        <v>DG0000000067</v>
      </c>
      <c r="C68">
        <v>37</v>
      </c>
      <c r="D68" t="s">
        <v>12</v>
      </c>
      <c r="E68">
        <v>1150000</v>
      </c>
      <c r="F68">
        <v>1127000</v>
      </c>
      <c r="G68">
        <v>9.9</v>
      </c>
      <c r="H68">
        <v>111573</v>
      </c>
      <c r="I68">
        <v>11268873</v>
      </c>
      <c r="J68">
        <v>227700</v>
      </c>
      <c r="K68">
        <v>116127</v>
      </c>
    </row>
    <row r="69" spans="1:11" x14ac:dyDescent="0.45">
      <c r="A69" s="1">
        <v>44967</v>
      </c>
      <c r="B69" s="2" t="str">
        <f t="shared" si="1"/>
        <v>DG0000000068</v>
      </c>
      <c r="C69">
        <v>50</v>
      </c>
      <c r="D69" t="s">
        <v>12</v>
      </c>
      <c r="E69">
        <v>1150000</v>
      </c>
      <c r="F69">
        <v>1127000</v>
      </c>
      <c r="G69">
        <v>2.85</v>
      </c>
      <c r="H69">
        <v>32119.5</v>
      </c>
      <c r="I69">
        <v>3244069.5</v>
      </c>
      <c r="J69">
        <v>65550</v>
      </c>
      <c r="K69">
        <v>33430.5</v>
      </c>
    </row>
    <row r="70" spans="1:11" x14ac:dyDescent="0.45">
      <c r="A70" s="1">
        <v>44971</v>
      </c>
      <c r="B70" s="2" t="str">
        <f t="shared" si="1"/>
        <v>DG0000000069</v>
      </c>
      <c r="C70">
        <v>48</v>
      </c>
      <c r="D70" t="s">
        <v>12</v>
      </c>
      <c r="E70">
        <v>1150000</v>
      </c>
      <c r="F70">
        <v>1127000</v>
      </c>
      <c r="G70">
        <v>8.51</v>
      </c>
      <c r="H70">
        <v>95907.7</v>
      </c>
      <c r="I70">
        <v>9686677.6999999993</v>
      </c>
      <c r="J70">
        <v>195730</v>
      </c>
      <c r="K70">
        <v>99822.3</v>
      </c>
    </row>
    <row r="71" spans="1:11" x14ac:dyDescent="0.45">
      <c r="A71" s="1">
        <v>44992</v>
      </c>
      <c r="B71" s="2" t="str">
        <f t="shared" si="1"/>
        <v>DG0000000070</v>
      </c>
      <c r="C71">
        <v>38</v>
      </c>
      <c r="D71" t="s">
        <v>12</v>
      </c>
      <c r="E71">
        <v>1150000</v>
      </c>
      <c r="F71">
        <v>1127000</v>
      </c>
      <c r="G71">
        <v>3.16</v>
      </c>
      <c r="H71">
        <v>35613.200000000004</v>
      </c>
      <c r="I71">
        <v>3596933.2</v>
      </c>
      <c r="J71">
        <v>72680</v>
      </c>
      <c r="K71">
        <v>37066.799999999996</v>
      </c>
    </row>
    <row r="72" spans="1:11" x14ac:dyDescent="0.45">
      <c r="A72" s="1">
        <v>45037</v>
      </c>
      <c r="B72" s="2" t="str">
        <f t="shared" si="1"/>
        <v>DG0000000071</v>
      </c>
      <c r="C72">
        <v>36</v>
      </c>
      <c r="D72" t="s">
        <v>12</v>
      </c>
      <c r="E72">
        <v>1150000</v>
      </c>
      <c r="F72">
        <v>1127000</v>
      </c>
      <c r="G72">
        <v>6.15</v>
      </c>
      <c r="H72">
        <v>69310.5</v>
      </c>
      <c r="I72">
        <v>7000360.5</v>
      </c>
      <c r="J72">
        <v>141450</v>
      </c>
      <c r="K72">
        <v>72139.5</v>
      </c>
    </row>
    <row r="73" spans="1:11" x14ac:dyDescent="0.45">
      <c r="A73" s="1">
        <v>45039</v>
      </c>
      <c r="B73" s="2" t="str">
        <f t="shared" si="1"/>
        <v>DG0000000072</v>
      </c>
      <c r="C73">
        <v>48</v>
      </c>
      <c r="D73" t="s">
        <v>13</v>
      </c>
      <c r="E73">
        <v>1150000</v>
      </c>
      <c r="F73">
        <v>1173000</v>
      </c>
      <c r="G73">
        <v>7.39</v>
      </c>
      <c r="H73">
        <v>86684.7</v>
      </c>
      <c r="I73">
        <v>8755154.6999999993</v>
      </c>
      <c r="J73">
        <v>169970</v>
      </c>
      <c r="K73">
        <v>83285.3</v>
      </c>
    </row>
    <row r="74" spans="1:11" x14ac:dyDescent="0.45">
      <c r="A74" s="1">
        <v>45040</v>
      </c>
      <c r="B74" s="2" t="str">
        <f t="shared" si="1"/>
        <v>DG0000000073</v>
      </c>
      <c r="C74">
        <v>26</v>
      </c>
      <c r="D74" t="s">
        <v>12</v>
      </c>
      <c r="E74">
        <v>1150000</v>
      </c>
      <c r="F74">
        <v>1127000</v>
      </c>
      <c r="G74">
        <v>7.57</v>
      </c>
      <c r="H74">
        <v>85313.900000000009</v>
      </c>
      <c r="I74">
        <v>8616703.9000000004</v>
      </c>
      <c r="J74">
        <v>174110</v>
      </c>
      <c r="K74">
        <v>88796.099999999991</v>
      </c>
    </row>
    <row r="75" spans="1:11" x14ac:dyDescent="0.45">
      <c r="A75" s="1">
        <v>45056</v>
      </c>
      <c r="B75" s="2" t="str">
        <f t="shared" si="1"/>
        <v>DG0000000074</v>
      </c>
      <c r="C75">
        <v>26</v>
      </c>
      <c r="D75" t="s">
        <v>12</v>
      </c>
      <c r="E75">
        <v>1150000</v>
      </c>
      <c r="F75">
        <v>1127000</v>
      </c>
      <c r="G75">
        <v>1.75</v>
      </c>
      <c r="H75">
        <v>19722.5</v>
      </c>
      <c r="I75">
        <v>1991972.5</v>
      </c>
      <c r="J75">
        <v>40250</v>
      </c>
      <c r="K75">
        <v>20527.5</v>
      </c>
    </row>
    <row r="76" spans="1:11" x14ac:dyDescent="0.45">
      <c r="A76" s="1">
        <v>45058</v>
      </c>
      <c r="B76" s="2" t="str">
        <f t="shared" si="1"/>
        <v>DG0000000075</v>
      </c>
      <c r="C76">
        <v>44</v>
      </c>
      <c r="D76" t="s">
        <v>12</v>
      </c>
      <c r="E76">
        <v>1150000</v>
      </c>
      <c r="F76">
        <v>1127000</v>
      </c>
      <c r="G76">
        <v>2.79</v>
      </c>
      <c r="H76">
        <v>31443.3</v>
      </c>
      <c r="I76">
        <v>3175773.3</v>
      </c>
      <c r="J76">
        <v>64170</v>
      </c>
      <c r="K76">
        <v>32726.7</v>
      </c>
    </row>
    <row r="77" spans="1:11" x14ac:dyDescent="0.45">
      <c r="A77" s="1">
        <v>45072</v>
      </c>
      <c r="B77" s="2" t="str">
        <f t="shared" si="1"/>
        <v>DG0000000076</v>
      </c>
      <c r="C77">
        <v>2</v>
      </c>
      <c r="D77" t="s">
        <v>12</v>
      </c>
      <c r="E77">
        <v>1150000</v>
      </c>
      <c r="F77">
        <v>1127000</v>
      </c>
      <c r="G77">
        <v>9.33</v>
      </c>
      <c r="H77">
        <v>105149.1</v>
      </c>
      <c r="I77">
        <v>10620059.1</v>
      </c>
      <c r="J77">
        <v>214590</v>
      </c>
      <c r="K77">
        <v>109440.9</v>
      </c>
    </row>
    <row r="78" spans="1:11" x14ac:dyDescent="0.45">
      <c r="A78" s="1">
        <v>45076</v>
      </c>
      <c r="B78" s="2" t="str">
        <f t="shared" si="1"/>
        <v>DG0000000077</v>
      </c>
      <c r="C78">
        <v>10</v>
      </c>
      <c r="D78" t="s">
        <v>13</v>
      </c>
      <c r="E78">
        <v>1150000</v>
      </c>
      <c r="F78">
        <v>1173000</v>
      </c>
      <c r="G78">
        <v>6.41</v>
      </c>
      <c r="H78">
        <v>75189.3</v>
      </c>
      <c r="I78">
        <v>7594119.2999999998</v>
      </c>
      <c r="J78">
        <v>147430</v>
      </c>
      <c r="K78">
        <v>72240.7</v>
      </c>
    </row>
    <row r="79" spans="1:11" x14ac:dyDescent="0.45">
      <c r="A79" s="1">
        <v>45079</v>
      </c>
      <c r="B79" s="2" t="str">
        <f t="shared" si="1"/>
        <v>DG0000000078</v>
      </c>
      <c r="C79">
        <v>47</v>
      </c>
      <c r="D79" t="s">
        <v>13</v>
      </c>
      <c r="E79">
        <v>1150000</v>
      </c>
      <c r="F79">
        <v>1173000</v>
      </c>
      <c r="G79">
        <v>0.92</v>
      </c>
      <c r="H79">
        <v>10791.6</v>
      </c>
      <c r="I79">
        <v>1089951.6000000001</v>
      </c>
      <c r="J79">
        <v>21160</v>
      </c>
      <c r="K79">
        <v>10368.4</v>
      </c>
    </row>
    <row r="80" spans="1:11" x14ac:dyDescent="0.45">
      <c r="A80" s="1">
        <v>45097</v>
      </c>
      <c r="B80" s="2" t="str">
        <f t="shared" si="1"/>
        <v>DG0000000079</v>
      </c>
      <c r="C80">
        <v>16</v>
      </c>
      <c r="D80" t="s">
        <v>13</v>
      </c>
      <c r="E80">
        <v>1150000</v>
      </c>
      <c r="F80">
        <v>1173000</v>
      </c>
      <c r="G80">
        <v>7.9</v>
      </c>
      <c r="H80">
        <v>92667</v>
      </c>
      <c r="I80">
        <v>9359367</v>
      </c>
      <c r="J80">
        <v>181700</v>
      </c>
      <c r="K80">
        <v>89033</v>
      </c>
    </row>
    <row r="81" spans="1:11" x14ac:dyDescent="0.45">
      <c r="A81" s="1">
        <v>45149</v>
      </c>
      <c r="B81" s="2" t="str">
        <f t="shared" si="1"/>
        <v>DG0000000080</v>
      </c>
      <c r="C81">
        <v>26</v>
      </c>
      <c r="D81" t="s">
        <v>13</v>
      </c>
      <c r="E81">
        <v>1150000</v>
      </c>
      <c r="F81">
        <v>1173000</v>
      </c>
      <c r="G81">
        <v>7.55</v>
      </c>
      <c r="H81">
        <v>88561.5</v>
      </c>
      <c r="I81">
        <v>8944711.5</v>
      </c>
      <c r="J81">
        <v>173650</v>
      </c>
      <c r="K81">
        <v>85088.5</v>
      </c>
    </row>
    <row r="82" spans="1:11" x14ac:dyDescent="0.45">
      <c r="A82" s="1">
        <v>45149</v>
      </c>
      <c r="B82" s="2" t="str">
        <f t="shared" si="1"/>
        <v>DG0000000081</v>
      </c>
      <c r="C82">
        <v>10</v>
      </c>
      <c r="D82" t="s">
        <v>12</v>
      </c>
      <c r="E82">
        <v>1150000</v>
      </c>
      <c r="F82">
        <v>1127000</v>
      </c>
      <c r="G82">
        <v>3.17</v>
      </c>
      <c r="H82">
        <v>35725.9</v>
      </c>
      <c r="I82">
        <v>3608315.9</v>
      </c>
      <c r="J82">
        <v>72910</v>
      </c>
      <c r="K82">
        <v>37184.1</v>
      </c>
    </row>
    <row r="83" spans="1:11" x14ac:dyDescent="0.45">
      <c r="A83" s="1">
        <v>45158</v>
      </c>
      <c r="B83" s="2" t="str">
        <f t="shared" si="1"/>
        <v>DG0000000082</v>
      </c>
      <c r="C83">
        <v>39</v>
      </c>
      <c r="D83" t="s">
        <v>13</v>
      </c>
      <c r="E83">
        <v>1150000</v>
      </c>
      <c r="F83">
        <v>1173000</v>
      </c>
      <c r="G83">
        <v>7.55</v>
      </c>
      <c r="H83">
        <v>88561.5</v>
      </c>
      <c r="I83">
        <v>8944711.5</v>
      </c>
      <c r="J83">
        <v>173650</v>
      </c>
      <c r="K83">
        <v>85088.5</v>
      </c>
    </row>
    <row r="84" spans="1:11" x14ac:dyDescent="0.45">
      <c r="A84" s="1">
        <v>45236</v>
      </c>
      <c r="B84" s="2" t="str">
        <f t="shared" si="1"/>
        <v>DG0000000083</v>
      </c>
      <c r="C84">
        <v>2</v>
      </c>
      <c r="D84" t="s">
        <v>13</v>
      </c>
      <c r="E84">
        <v>1150000</v>
      </c>
      <c r="F84">
        <v>1173000</v>
      </c>
      <c r="G84">
        <v>5.46</v>
      </c>
      <c r="H84">
        <v>64045.8</v>
      </c>
      <c r="I84">
        <v>6468625.7999999998</v>
      </c>
      <c r="J84">
        <v>125580</v>
      </c>
      <c r="K84">
        <v>61534.2</v>
      </c>
    </row>
    <row r="85" spans="1:11" x14ac:dyDescent="0.45">
      <c r="A85" s="1">
        <v>45275</v>
      </c>
      <c r="B85" s="2" t="str">
        <f t="shared" si="1"/>
        <v>DG0000000084</v>
      </c>
      <c r="C85">
        <v>42</v>
      </c>
      <c r="D85" t="s">
        <v>12</v>
      </c>
      <c r="E85">
        <v>1150000</v>
      </c>
      <c r="F85">
        <v>1127000</v>
      </c>
      <c r="G85">
        <v>4.17</v>
      </c>
      <c r="H85">
        <v>46995.9</v>
      </c>
      <c r="I85">
        <v>4746585.9000000004</v>
      </c>
      <c r="J85">
        <v>95910</v>
      </c>
      <c r="K85">
        <v>48914.1</v>
      </c>
    </row>
    <row r="86" spans="1:11" x14ac:dyDescent="0.45">
      <c r="A86" s="1">
        <v>45285</v>
      </c>
      <c r="B86" s="2" t="str">
        <f t="shared" si="1"/>
        <v>DG0000000085</v>
      </c>
      <c r="C86">
        <v>29</v>
      </c>
      <c r="D86" t="s">
        <v>13</v>
      </c>
      <c r="E86">
        <v>1150000</v>
      </c>
      <c r="F86">
        <v>1173000</v>
      </c>
      <c r="G86">
        <v>3.79</v>
      </c>
      <c r="H86">
        <v>44456.700000000004</v>
      </c>
      <c r="I86">
        <v>4490126.7</v>
      </c>
      <c r="J86">
        <v>87170</v>
      </c>
      <c r="K86">
        <v>42713.299999999996</v>
      </c>
    </row>
    <row r="87" spans="1:11" x14ac:dyDescent="0.45">
      <c r="A87" s="1">
        <v>45290</v>
      </c>
      <c r="B87" s="2" t="str">
        <f t="shared" si="1"/>
        <v>DG0000000086</v>
      </c>
      <c r="C87">
        <v>34</v>
      </c>
      <c r="D87" t="s">
        <v>13</v>
      </c>
      <c r="E87">
        <v>1150000</v>
      </c>
      <c r="F87">
        <v>1173000</v>
      </c>
      <c r="G87">
        <v>8.64</v>
      </c>
      <c r="H87">
        <v>101347.2</v>
      </c>
      <c r="I87">
        <v>10236067.199999999</v>
      </c>
      <c r="J87">
        <v>198720</v>
      </c>
      <c r="K87">
        <v>97372.800000000003</v>
      </c>
    </row>
    <row r="88" spans="1:11" x14ac:dyDescent="0.45">
      <c r="A88" s="1">
        <v>45301</v>
      </c>
      <c r="B88" s="2" t="str">
        <f t="shared" si="1"/>
        <v>DG0000000087</v>
      </c>
      <c r="C88">
        <v>43</v>
      </c>
      <c r="D88" t="s">
        <v>12</v>
      </c>
      <c r="E88">
        <v>1250000</v>
      </c>
      <c r="F88">
        <v>1225000</v>
      </c>
      <c r="G88">
        <v>8.8000000000000007</v>
      </c>
      <c r="H88">
        <v>107800</v>
      </c>
      <c r="I88">
        <v>10887800</v>
      </c>
      <c r="J88">
        <v>220000.00000000003</v>
      </c>
      <c r="K88">
        <v>112200.00000000003</v>
      </c>
    </row>
    <row r="89" spans="1:11" x14ac:dyDescent="0.45">
      <c r="A89" s="1">
        <v>45311</v>
      </c>
      <c r="B89" s="2" t="str">
        <f t="shared" si="1"/>
        <v>DG0000000088</v>
      </c>
      <c r="C89">
        <v>47</v>
      </c>
      <c r="D89" t="s">
        <v>12</v>
      </c>
      <c r="E89">
        <v>1250000</v>
      </c>
      <c r="F89">
        <v>1225000</v>
      </c>
      <c r="G89">
        <v>0.67</v>
      </c>
      <c r="H89">
        <v>8207.5</v>
      </c>
      <c r="I89">
        <v>828957.5</v>
      </c>
      <c r="J89">
        <v>16750</v>
      </c>
      <c r="K89">
        <v>8542.5</v>
      </c>
    </row>
    <row r="90" spans="1:11" x14ac:dyDescent="0.45">
      <c r="A90" s="1">
        <v>45314</v>
      </c>
      <c r="B90" s="2" t="str">
        <f t="shared" si="1"/>
        <v>DG0000000089</v>
      </c>
      <c r="C90">
        <v>15</v>
      </c>
      <c r="D90" t="s">
        <v>13</v>
      </c>
      <c r="E90">
        <v>1250000</v>
      </c>
      <c r="F90">
        <v>1275000</v>
      </c>
      <c r="G90">
        <v>3.02</v>
      </c>
      <c r="H90">
        <v>38505</v>
      </c>
      <c r="I90">
        <v>3889005</v>
      </c>
      <c r="J90">
        <v>75500</v>
      </c>
      <c r="K90">
        <v>36995</v>
      </c>
    </row>
    <row r="91" spans="1:11" x14ac:dyDescent="0.45">
      <c r="A91" s="1">
        <v>45323</v>
      </c>
      <c r="B91" s="2" t="str">
        <f t="shared" si="1"/>
        <v>DG0000000090</v>
      </c>
      <c r="C91">
        <v>8</v>
      </c>
      <c r="D91" t="s">
        <v>12</v>
      </c>
      <c r="E91">
        <v>1250000</v>
      </c>
      <c r="F91">
        <v>1225000</v>
      </c>
      <c r="G91">
        <v>4</v>
      </c>
      <c r="H91">
        <v>49000</v>
      </c>
      <c r="I91">
        <v>4949000</v>
      </c>
      <c r="J91">
        <v>100000</v>
      </c>
      <c r="K91">
        <v>51000</v>
      </c>
    </row>
    <row r="92" spans="1:11" x14ac:dyDescent="0.45">
      <c r="A92" s="1">
        <v>45326</v>
      </c>
      <c r="B92" s="2" t="str">
        <f t="shared" si="1"/>
        <v>DG0000000091</v>
      </c>
      <c r="C92">
        <v>7</v>
      </c>
      <c r="D92" t="s">
        <v>13</v>
      </c>
      <c r="E92">
        <v>1250000</v>
      </c>
      <c r="F92">
        <v>1275000</v>
      </c>
      <c r="G92">
        <v>0.06</v>
      </c>
      <c r="H92">
        <v>765</v>
      </c>
      <c r="I92">
        <v>77265</v>
      </c>
      <c r="J92">
        <v>1500</v>
      </c>
      <c r="K92">
        <v>735</v>
      </c>
    </row>
    <row r="93" spans="1:11" x14ac:dyDescent="0.45">
      <c r="A93" s="1">
        <v>45380</v>
      </c>
      <c r="B93" s="2" t="str">
        <f t="shared" si="1"/>
        <v>DG0000000092</v>
      </c>
      <c r="C93">
        <v>38</v>
      </c>
      <c r="D93" t="s">
        <v>12</v>
      </c>
      <c r="E93">
        <v>1250000</v>
      </c>
      <c r="F93">
        <v>1225000</v>
      </c>
      <c r="G93">
        <v>1.48</v>
      </c>
      <c r="H93">
        <v>18130</v>
      </c>
      <c r="I93">
        <v>1831130</v>
      </c>
      <c r="J93">
        <v>37000</v>
      </c>
      <c r="K93">
        <v>18870</v>
      </c>
    </row>
    <row r="94" spans="1:11" x14ac:dyDescent="0.45">
      <c r="A94" s="1">
        <v>45385</v>
      </c>
      <c r="B94" s="2" t="str">
        <f t="shared" si="1"/>
        <v>DG0000000093</v>
      </c>
      <c r="C94">
        <v>29</v>
      </c>
      <c r="D94" t="s">
        <v>13</v>
      </c>
      <c r="E94">
        <v>1250000</v>
      </c>
      <c r="F94">
        <v>1275000</v>
      </c>
      <c r="G94">
        <v>5.44</v>
      </c>
      <c r="H94">
        <v>69360.000000000015</v>
      </c>
      <c r="I94">
        <v>7005360.0000000009</v>
      </c>
      <c r="J94">
        <v>136000</v>
      </c>
      <c r="K94">
        <v>66639.999999999985</v>
      </c>
    </row>
    <row r="95" spans="1:11" x14ac:dyDescent="0.45">
      <c r="A95" s="1">
        <v>45389</v>
      </c>
      <c r="B95" s="2" t="str">
        <f t="shared" si="1"/>
        <v>DG0000000094</v>
      </c>
      <c r="C95">
        <v>37</v>
      </c>
      <c r="D95" t="s">
        <v>13</v>
      </c>
      <c r="E95">
        <v>1250000</v>
      </c>
      <c r="F95">
        <v>1275000</v>
      </c>
      <c r="G95">
        <v>3.55</v>
      </c>
      <c r="H95">
        <v>45262.5</v>
      </c>
      <c r="I95">
        <v>4571512.5</v>
      </c>
      <c r="J95">
        <v>88750</v>
      </c>
      <c r="K95">
        <v>43487.5</v>
      </c>
    </row>
    <row r="96" spans="1:11" x14ac:dyDescent="0.45">
      <c r="A96" s="1">
        <v>45421</v>
      </c>
      <c r="B96" s="2" t="str">
        <f t="shared" si="1"/>
        <v>DG0000000095</v>
      </c>
      <c r="C96">
        <v>21</v>
      </c>
      <c r="D96" t="s">
        <v>12</v>
      </c>
      <c r="E96">
        <v>1250000</v>
      </c>
      <c r="F96">
        <v>1225000</v>
      </c>
      <c r="G96">
        <v>4.3899999999999997</v>
      </c>
      <c r="H96">
        <v>53777.5</v>
      </c>
      <c r="I96">
        <v>5431527.5</v>
      </c>
      <c r="J96">
        <v>109749.99999999999</v>
      </c>
      <c r="K96">
        <v>55972.499999999985</v>
      </c>
    </row>
    <row r="97" spans="1:11" x14ac:dyDescent="0.45">
      <c r="A97" s="1">
        <v>45460</v>
      </c>
      <c r="B97" s="2" t="str">
        <f t="shared" si="1"/>
        <v>DG0000000096</v>
      </c>
      <c r="C97">
        <v>46</v>
      </c>
      <c r="D97" t="s">
        <v>13</v>
      </c>
      <c r="E97">
        <v>1250000</v>
      </c>
      <c r="F97">
        <v>1275000</v>
      </c>
      <c r="G97">
        <v>4.29</v>
      </c>
      <c r="H97">
        <v>54697.5</v>
      </c>
      <c r="I97">
        <v>5524447.5</v>
      </c>
      <c r="J97">
        <v>107250</v>
      </c>
      <c r="K97">
        <v>52552.5</v>
      </c>
    </row>
    <row r="98" spans="1:11" x14ac:dyDescent="0.45">
      <c r="A98" s="1">
        <v>45545</v>
      </c>
      <c r="B98" s="2" t="str">
        <f t="shared" si="1"/>
        <v>DG0000000097</v>
      </c>
      <c r="C98">
        <v>40</v>
      </c>
      <c r="D98" t="s">
        <v>12</v>
      </c>
      <c r="E98">
        <v>1250000</v>
      </c>
      <c r="F98">
        <v>1225000</v>
      </c>
      <c r="G98">
        <v>8.18</v>
      </c>
      <c r="H98">
        <v>100205</v>
      </c>
      <c r="I98">
        <v>10120705</v>
      </c>
      <c r="J98">
        <v>204500</v>
      </c>
      <c r="K98">
        <v>104295</v>
      </c>
    </row>
    <row r="99" spans="1:11" x14ac:dyDescent="0.45">
      <c r="A99" s="1">
        <v>45582</v>
      </c>
      <c r="B99" s="2" t="str">
        <f t="shared" si="1"/>
        <v>DG0000000098</v>
      </c>
      <c r="C99">
        <v>8</v>
      </c>
      <c r="D99" t="s">
        <v>13</v>
      </c>
      <c r="E99">
        <v>1250000</v>
      </c>
      <c r="F99">
        <v>1275000</v>
      </c>
      <c r="G99">
        <v>3.02</v>
      </c>
      <c r="H99">
        <v>38505</v>
      </c>
      <c r="I99">
        <v>3889005</v>
      </c>
      <c r="J99">
        <v>75500</v>
      </c>
      <c r="K99">
        <v>36995</v>
      </c>
    </row>
    <row r="100" spans="1:11" x14ac:dyDescent="0.45">
      <c r="A100" s="1">
        <v>45594</v>
      </c>
      <c r="B100" s="2" t="str">
        <f t="shared" si="1"/>
        <v>DG0000000099</v>
      </c>
      <c r="C100">
        <v>18</v>
      </c>
      <c r="D100" t="s">
        <v>12</v>
      </c>
      <c r="E100">
        <v>1250000</v>
      </c>
      <c r="F100">
        <v>1225000</v>
      </c>
      <c r="G100">
        <v>0.8</v>
      </c>
      <c r="H100">
        <v>9800</v>
      </c>
      <c r="I100">
        <v>989800</v>
      </c>
      <c r="J100">
        <v>20000</v>
      </c>
      <c r="K100">
        <v>10200</v>
      </c>
    </row>
    <row r="101" spans="1:11" x14ac:dyDescent="0.45">
      <c r="A101" s="1">
        <v>45595</v>
      </c>
      <c r="B101" s="2" t="str">
        <f t="shared" si="1"/>
        <v>DG0000000100</v>
      </c>
      <c r="C101">
        <v>30</v>
      </c>
      <c r="D101" t="s">
        <v>13</v>
      </c>
      <c r="E101">
        <v>1250000</v>
      </c>
      <c r="F101">
        <v>1275000</v>
      </c>
      <c r="G101">
        <v>4.87</v>
      </c>
      <c r="H101">
        <v>62092.5</v>
      </c>
      <c r="I101">
        <v>6271342.5</v>
      </c>
      <c r="J101">
        <v>121750</v>
      </c>
      <c r="K101">
        <v>59657.5</v>
      </c>
    </row>
  </sheetData>
  <autoFilter ref="A1:K101" xr:uid="{514E0E6D-BD8A-4960-AF03-5BCA1FEB4A89}">
    <sortState xmlns:xlrd2="http://schemas.microsoft.com/office/spreadsheetml/2017/richdata2" ref="A2:K101">
      <sortCondition ref="A1:A1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dummy_data_gen</vt:lpstr>
      <vt:lpstr>dummy_gold_price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 -</dc:creator>
  <cp:lastModifiedBy>Ina -</cp:lastModifiedBy>
  <dcterms:created xsi:type="dcterms:W3CDTF">2024-12-26T17:27:46Z</dcterms:created>
  <dcterms:modified xsi:type="dcterms:W3CDTF">2024-12-26T18:54:58Z</dcterms:modified>
</cp:coreProperties>
</file>